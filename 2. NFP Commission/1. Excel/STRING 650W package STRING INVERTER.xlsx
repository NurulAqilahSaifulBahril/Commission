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Basic Commission\"/>
    </mc:Choice>
  </mc:AlternateContent>
  <xr:revisionPtr revIDLastSave="0" documentId="13_ncr:1_{D4993762-8C06-4485-9515-BDA5C6F9D3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B 2026" sheetId="1" r:id="rId1"/>
    <sheet name="MAC 2026" sheetId="2" r:id="rId2"/>
    <sheet name="APR 2026" sheetId="3" r:id="rId3"/>
    <sheet name="MAY 202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4" l="1"/>
  <c r="Y5" i="4"/>
  <c r="Y6" i="4"/>
  <c r="Y7" i="4"/>
  <c r="Y8" i="4"/>
  <c r="Y9" i="4"/>
  <c r="Y10" i="4"/>
  <c r="Y11" i="4"/>
  <c r="Y12" i="4"/>
  <c r="Y13" i="4"/>
  <c r="Y3" i="4"/>
  <c r="W4" i="4"/>
  <c r="W5" i="4"/>
  <c r="W6" i="4"/>
  <c r="W7" i="4"/>
  <c r="W8" i="4"/>
  <c r="W9" i="4"/>
  <c r="W10" i="4"/>
  <c r="W11" i="4"/>
  <c r="W12" i="4"/>
  <c r="W13" i="4"/>
  <c r="W3" i="4"/>
  <c r="R12" i="4"/>
  <c r="R13" i="4"/>
  <c r="R11" i="4"/>
  <c r="R4" i="4"/>
  <c r="R5" i="4"/>
  <c r="R6" i="4"/>
  <c r="R7" i="4"/>
  <c r="R8" i="4"/>
  <c r="R9" i="4"/>
  <c r="R10" i="4"/>
  <c r="R3" i="4"/>
  <c r="D4" i="4"/>
  <c r="D5" i="4"/>
  <c r="I5" i="4" s="1"/>
  <c r="K5" i="4" s="1"/>
  <c r="D6" i="4"/>
  <c r="I6" i="4" s="1"/>
  <c r="K6" i="4" s="1"/>
  <c r="D7" i="4"/>
  <c r="I7" i="4" s="1"/>
  <c r="K7" i="4" s="1"/>
  <c r="D8" i="4"/>
  <c r="I8" i="4" s="1"/>
  <c r="K8" i="4" s="1"/>
  <c r="D3" i="4"/>
  <c r="D9" i="4"/>
  <c r="D10" i="4"/>
  <c r="D11" i="4"/>
  <c r="I11" i="4" s="1"/>
  <c r="K11" i="4" s="1"/>
  <c r="D41" i="4"/>
  <c r="I41" i="4" s="1"/>
  <c r="K41" i="4" s="1"/>
  <c r="D40" i="4"/>
  <c r="I40" i="4" s="1"/>
  <c r="K40" i="4" s="1"/>
  <c r="D39" i="4"/>
  <c r="I39" i="4" s="1"/>
  <c r="K39" i="4" s="1"/>
  <c r="D38" i="4"/>
  <c r="I38" i="4" s="1"/>
  <c r="K38" i="4" s="1"/>
  <c r="D37" i="4"/>
  <c r="I37" i="4" s="1"/>
  <c r="K37" i="4" s="1"/>
  <c r="D36" i="4"/>
  <c r="I36" i="4" s="1"/>
  <c r="K36" i="4" s="1"/>
  <c r="D35" i="4"/>
  <c r="I35" i="4" s="1"/>
  <c r="K35" i="4" s="1"/>
  <c r="D34" i="4"/>
  <c r="I34" i="4" s="1"/>
  <c r="K34" i="4" s="1"/>
  <c r="D33" i="4"/>
  <c r="I33" i="4" s="1"/>
  <c r="K33" i="4" s="1"/>
  <c r="D32" i="4"/>
  <c r="I32" i="4" s="1"/>
  <c r="K32" i="4" s="1"/>
  <c r="D31" i="4"/>
  <c r="I31" i="4" s="1"/>
  <c r="K31" i="4" s="1"/>
  <c r="D30" i="4"/>
  <c r="I30" i="4" s="1"/>
  <c r="K30" i="4" s="1"/>
  <c r="D29" i="4"/>
  <c r="I29" i="4" s="1"/>
  <c r="K29" i="4" s="1"/>
  <c r="D28" i="4"/>
  <c r="I28" i="4" s="1"/>
  <c r="K28" i="4" s="1"/>
  <c r="D27" i="4"/>
  <c r="I27" i="4" s="1"/>
  <c r="K27" i="4" s="1"/>
  <c r="D26" i="4"/>
  <c r="I26" i="4" s="1"/>
  <c r="K26" i="4" s="1"/>
  <c r="D25" i="4"/>
  <c r="I25" i="4" s="1"/>
  <c r="K25" i="4" s="1"/>
  <c r="D24" i="4"/>
  <c r="I24" i="4" s="1"/>
  <c r="K24" i="4" s="1"/>
  <c r="D23" i="4"/>
  <c r="I23" i="4" s="1"/>
  <c r="K23" i="4" s="1"/>
  <c r="D22" i="4"/>
  <c r="I22" i="4" s="1"/>
  <c r="K22" i="4" s="1"/>
  <c r="D21" i="4"/>
  <c r="I21" i="4" s="1"/>
  <c r="K21" i="4" s="1"/>
  <c r="D20" i="4"/>
  <c r="I20" i="4" s="1"/>
  <c r="K20" i="4" s="1"/>
  <c r="D19" i="4"/>
  <c r="I19" i="4" s="1"/>
  <c r="K19" i="4" s="1"/>
  <c r="D18" i="4"/>
  <c r="I18" i="4" s="1"/>
  <c r="K18" i="4" s="1"/>
  <c r="D17" i="4"/>
  <c r="I17" i="4" s="1"/>
  <c r="K17" i="4" s="1"/>
  <c r="D16" i="4"/>
  <c r="I16" i="4" s="1"/>
  <c r="K16" i="4" s="1"/>
  <c r="D15" i="4"/>
  <c r="I15" i="4" s="1"/>
  <c r="K15" i="4" s="1"/>
  <c r="D14" i="4"/>
  <c r="I14" i="4" s="1"/>
  <c r="K14" i="4" s="1"/>
  <c r="D13" i="4"/>
  <c r="I13" i="4" s="1"/>
  <c r="K13" i="4" s="1"/>
  <c r="D12" i="4"/>
  <c r="I12" i="4" s="1"/>
  <c r="K12" i="4" s="1"/>
  <c r="I10" i="4"/>
  <c r="K10" i="4" s="1"/>
  <c r="I9" i="4"/>
  <c r="K9" i="4" s="1"/>
  <c r="I4" i="4"/>
  <c r="K4" i="4" s="1"/>
  <c r="I3" i="4"/>
  <c r="K3" i="4" s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3" i="3"/>
  <c r="D18" i="3"/>
  <c r="K18" i="3" s="1"/>
  <c r="D19" i="3"/>
  <c r="K19" i="3" s="1"/>
  <c r="D20" i="3"/>
  <c r="K20" i="3" s="1"/>
  <c r="D21" i="3"/>
  <c r="K21" i="3" s="1"/>
  <c r="D22" i="3"/>
  <c r="K22" i="3" s="1"/>
  <c r="D23" i="3"/>
  <c r="K23" i="3" s="1"/>
  <c r="D24" i="3"/>
  <c r="K24" i="3" s="1"/>
  <c r="D25" i="3"/>
  <c r="K25" i="3" s="1"/>
  <c r="D26" i="3"/>
  <c r="K26" i="3" s="1"/>
  <c r="D27" i="3"/>
  <c r="K27" i="3" s="1"/>
  <c r="D28" i="3"/>
  <c r="K28" i="3" s="1"/>
  <c r="D29" i="3"/>
  <c r="K29" i="3" s="1"/>
  <c r="D30" i="3"/>
  <c r="K30" i="3" s="1"/>
  <c r="D31" i="3"/>
  <c r="K31" i="3" s="1"/>
  <c r="D32" i="3"/>
  <c r="K32" i="3" s="1"/>
  <c r="D33" i="3"/>
  <c r="K33" i="3" s="1"/>
  <c r="D34" i="3"/>
  <c r="K34" i="3" s="1"/>
  <c r="D35" i="3"/>
  <c r="K35" i="3" s="1"/>
  <c r="D36" i="3"/>
  <c r="K36" i="3" s="1"/>
  <c r="D37" i="3"/>
  <c r="K37" i="3" s="1"/>
  <c r="D38" i="3"/>
  <c r="K38" i="3" s="1"/>
  <c r="D39" i="3"/>
  <c r="K39" i="3" s="1"/>
  <c r="D40" i="3"/>
  <c r="K40" i="3" s="1"/>
  <c r="D41" i="3"/>
  <c r="K41" i="3" s="1"/>
  <c r="D42" i="3"/>
  <c r="K42" i="3" s="1"/>
  <c r="D43" i="3"/>
  <c r="K43" i="3" s="1"/>
  <c r="D17" i="3"/>
  <c r="K17" i="3" s="1"/>
  <c r="D12" i="3"/>
  <c r="K12" i="3" s="1"/>
  <c r="D13" i="3"/>
  <c r="K13" i="3" s="1"/>
  <c r="D14" i="3"/>
  <c r="K14" i="3" s="1"/>
  <c r="D15" i="3"/>
  <c r="K15" i="3" s="1"/>
  <c r="D16" i="3"/>
  <c r="K16" i="3" s="1"/>
  <c r="D11" i="3"/>
  <c r="K11" i="3" s="1"/>
  <c r="D4" i="3"/>
  <c r="K4" i="3" s="1"/>
  <c r="D5" i="3"/>
  <c r="K5" i="3" s="1"/>
  <c r="D6" i="3"/>
  <c r="K6" i="3" s="1"/>
  <c r="D7" i="3"/>
  <c r="K7" i="3" s="1"/>
  <c r="D8" i="3"/>
  <c r="K8" i="3" s="1"/>
  <c r="D9" i="3"/>
  <c r="K9" i="3" s="1"/>
  <c r="D10" i="3"/>
  <c r="K10" i="3" s="1"/>
  <c r="D3" i="3"/>
  <c r="K3" i="3" s="1"/>
  <c r="Q3" i="2"/>
  <c r="N42" i="2"/>
  <c r="D11" i="2"/>
  <c r="J11" i="2" s="1"/>
  <c r="D19" i="2"/>
  <c r="J19" i="2" s="1"/>
  <c r="L19" i="2" s="1"/>
  <c r="N19" i="2" s="1"/>
  <c r="D20" i="2"/>
  <c r="J20" i="2" s="1"/>
  <c r="L20" i="2" s="1"/>
  <c r="N20" i="2" s="1"/>
  <c r="D21" i="2"/>
  <c r="J21" i="2" s="1"/>
  <c r="L21" i="2" s="1"/>
  <c r="N21" i="2" s="1"/>
  <c r="D18" i="2"/>
  <c r="J18" i="2" s="1"/>
  <c r="L18" i="2" s="1"/>
  <c r="N18" i="2" s="1"/>
  <c r="D43" i="2"/>
  <c r="J43" i="2" s="1"/>
  <c r="D42" i="2"/>
  <c r="J42" i="2" s="1"/>
  <c r="L42" i="2" s="1"/>
  <c r="D41" i="2"/>
  <c r="J41" i="2" s="1"/>
  <c r="L41" i="2" s="1"/>
  <c r="N41" i="2" s="1"/>
  <c r="D40" i="2"/>
  <c r="J40" i="2" s="1"/>
  <c r="L40" i="2" s="1"/>
  <c r="N40" i="2" s="1"/>
  <c r="D39" i="2"/>
  <c r="J39" i="2" s="1"/>
  <c r="L39" i="2" s="1"/>
  <c r="N39" i="2" s="1"/>
  <c r="D38" i="2"/>
  <c r="J38" i="2" s="1"/>
  <c r="L38" i="2" s="1"/>
  <c r="N38" i="2" s="1"/>
  <c r="D37" i="2"/>
  <c r="J37" i="2" s="1"/>
  <c r="L37" i="2" s="1"/>
  <c r="N37" i="2" s="1"/>
  <c r="D36" i="2"/>
  <c r="J36" i="2" s="1"/>
  <c r="L36" i="2" s="1"/>
  <c r="N36" i="2" s="1"/>
  <c r="D35" i="2"/>
  <c r="J35" i="2" s="1"/>
  <c r="L35" i="2" s="1"/>
  <c r="N35" i="2" s="1"/>
  <c r="D34" i="2"/>
  <c r="J34" i="2" s="1"/>
  <c r="L34" i="2" s="1"/>
  <c r="N34" i="2" s="1"/>
  <c r="D33" i="2"/>
  <c r="J33" i="2" s="1"/>
  <c r="D32" i="2"/>
  <c r="J32" i="2" s="1"/>
  <c r="D31" i="2"/>
  <c r="J31" i="2" s="1"/>
  <c r="D30" i="2"/>
  <c r="J30" i="2" s="1"/>
  <c r="D29" i="2"/>
  <c r="J29" i="2" s="1"/>
  <c r="D28" i="2"/>
  <c r="J28" i="2" s="1"/>
  <c r="D27" i="2"/>
  <c r="J27" i="2" s="1"/>
  <c r="D26" i="2"/>
  <c r="J26" i="2" s="1"/>
  <c r="D25" i="2"/>
  <c r="J25" i="2" s="1"/>
  <c r="D24" i="2"/>
  <c r="J24" i="2" s="1"/>
  <c r="D23" i="2"/>
  <c r="J23" i="2" s="1"/>
  <c r="D22" i="2"/>
  <c r="J22" i="2" s="1"/>
  <c r="D17" i="2"/>
  <c r="J17" i="2" s="1"/>
  <c r="L17" i="2" s="1"/>
  <c r="N17" i="2" s="1"/>
  <c r="D16" i="2"/>
  <c r="J16" i="2" s="1"/>
  <c r="L16" i="2" s="1"/>
  <c r="N16" i="2" s="1"/>
  <c r="D15" i="2"/>
  <c r="J15" i="2" s="1"/>
  <c r="L15" i="2" s="1"/>
  <c r="N15" i="2" s="1"/>
  <c r="D14" i="2"/>
  <c r="J14" i="2" s="1"/>
  <c r="D13" i="2"/>
  <c r="J13" i="2" s="1"/>
  <c r="L13" i="2" s="1"/>
  <c r="N13" i="2" s="1"/>
  <c r="D12" i="2"/>
  <c r="J12" i="2" s="1"/>
  <c r="D10" i="2"/>
  <c r="J10" i="2" s="1"/>
  <c r="D9" i="2"/>
  <c r="J9" i="2" s="1"/>
  <c r="D8" i="2"/>
  <c r="J8" i="2" s="1"/>
  <c r="D7" i="2"/>
  <c r="J7" i="2" s="1"/>
  <c r="D6" i="2"/>
  <c r="J6" i="2" s="1"/>
  <c r="D5" i="2"/>
  <c r="J5" i="2" s="1"/>
  <c r="D4" i="2"/>
  <c r="J4" i="2" s="1"/>
  <c r="D3" i="2"/>
  <c r="J3" i="2" s="1"/>
  <c r="L3" i="2" s="1"/>
  <c r="N3" i="2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3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20" i="1"/>
  <c r="D13" i="1"/>
  <c r="D14" i="1"/>
  <c r="D15" i="1"/>
  <c r="D16" i="1"/>
  <c r="D17" i="1"/>
  <c r="D18" i="1"/>
  <c r="D19" i="1"/>
  <c r="D12" i="1"/>
  <c r="D4" i="1"/>
  <c r="D5" i="1"/>
  <c r="D6" i="1"/>
  <c r="D7" i="1"/>
  <c r="D8" i="1"/>
  <c r="D9" i="1"/>
  <c r="D10" i="1"/>
  <c r="D11" i="1"/>
  <c r="D3" i="1"/>
  <c r="L12" i="2" l="1"/>
  <c r="N12" i="2" s="1"/>
  <c r="L10" i="2"/>
  <c r="N10" i="2" s="1"/>
  <c r="L9" i="2"/>
  <c r="N9" i="2" s="1"/>
  <c r="L8" i="2"/>
  <c r="N8" i="2" s="1"/>
  <c r="L7" i="2"/>
  <c r="N7" i="2" s="1"/>
  <c r="L5" i="2"/>
  <c r="N5" i="2" s="1"/>
  <c r="L4" i="2"/>
  <c r="N4" i="2" s="1"/>
  <c r="L14" i="2"/>
  <c r="N14" i="2" s="1"/>
  <c r="Q19" i="2"/>
  <c r="R19" i="2" s="1"/>
  <c r="T19" i="2" s="1"/>
  <c r="Q20" i="2"/>
  <c r="R20" i="2" s="1"/>
  <c r="T20" i="2" s="1"/>
  <c r="Q21" i="2"/>
  <c r="R21" i="2"/>
  <c r="T21" i="2" s="1"/>
  <c r="Q18" i="2"/>
  <c r="R18" i="2" s="1"/>
  <c r="T18" i="2" s="1"/>
  <c r="Q42" i="2"/>
  <c r="R42" i="2"/>
  <c r="T42" i="2" s="1"/>
  <c r="Q41" i="2"/>
  <c r="R41" i="2" s="1"/>
  <c r="T41" i="2" s="1"/>
  <c r="Q40" i="2"/>
  <c r="R40" i="2" s="1"/>
  <c r="T40" i="2" s="1"/>
  <c r="Q39" i="2"/>
  <c r="R39" i="2" s="1"/>
  <c r="T39" i="2" s="1"/>
  <c r="Q38" i="2"/>
  <c r="R38" i="2" s="1"/>
  <c r="T38" i="2" s="1"/>
  <c r="Q37" i="2"/>
  <c r="R37" i="2" s="1"/>
  <c r="T37" i="2" s="1"/>
  <c r="Q36" i="2"/>
  <c r="R36" i="2" s="1"/>
  <c r="T36" i="2" s="1"/>
  <c r="Q35" i="2"/>
  <c r="R35" i="2" s="1"/>
  <c r="T35" i="2" s="1"/>
  <c r="Q34" i="2"/>
  <c r="R34" i="2"/>
  <c r="T34" i="2" s="1"/>
  <c r="Q17" i="2"/>
  <c r="R17" i="2" s="1"/>
  <c r="T17" i="2" s="1"/>
  <c r="Q16" i="2"/>
  <c r="R16" i="2" s="1"/>
  <c r="T16" i="2" s="1"/>
  <c r="Q15" i="2"/>
  <c r="R15" i="2"/>
  <c r="T15" i="2" s="1"/>
  <c r="Q13" i="2"/>
  <c r="R13" i="2" s="1"/>
  <c r="T13" i="2" s="1"/>
  <c r="R3" i="2"/>
  <c r="T3" i="2" s="1"/>
  <c r="L11" i="2"/>
  <c r="N11" i="2" s="1"/>
  <c r="L6" i="2"/>
  <c r="N6" i="2" s="1"/>
  <c r="L33" i="2"/>
  <c r="N33" i="2" s="1"/>
  <c r="L32" i="2"/>
  <c r="N32" i="2" s="1"/>
  <c r="L31" i="2"/>
  <c r="N31" i="2" s="1"/>
  <c r="L30" i="2"/>
  <c r="N30" i="2" s="1"/>
  <c r="L29" i="2"/>
  <c r="N29" i="2" s="1"/>
  <c r="L28" i="2"/>
  <c r="N28" i="2" s="1"/>
  <c r="L27" i="2"/>
  <c r="N27" i="2" s="1"/>
  <c r="L26" i="2"/>
  <c r="N26" i="2" s="1"/>
  <c r="L25" i="2"/>
  <c r="N25" i="2" s="1"/>
  <c r="L24" i="2"/>
  <c r="N24" i="2" s="1"/>
  <c r="L23" i="2"/>
  <c r="N23" i="2" s="1"/>
  <c r="L22" i="2"/>
  <c r="N22" i="2" s="1"/>
  <c r="L43" i="2"/>
  <c r="N43" i="2" s="1"/>
  <c r="Q12" i="2" l="1"/>
  <c r="R12" i="2" s="1"/>
  <c r="T12" i="2" s="1"/>
  <c r="Q10" i="2"/>
  <c r="R10" i="2" s="1"/>
  <c r="T10" i="2" s="1"/>
  <c r="Q9" i="2"/>
  <c r="R9" i="2"/>
  <c r="T9" i="2" s="1"/>
  <c r="Q8" i="2"/>
  <c r="R8" i="2" s="1"/>
  <c r="T8" i="2" s="1"/>
  <c r="Q7" i="2"/>
  <c r="R7" i="2" s="1"/>
  <c r="T7" i="2" s="1"/>
  <c r="Q5" i="2"/>
  <c r="R5" i="2"/>
  <c r="T5" i="2" s="1"/>
  <c r="Q4" i="2"/>
  <c r="R4" i="2" s="1"/>
  <c r="T4" i="2" s="1"/>
  <c r="Q14" i="2"/>
  <c r="R14" i="2" s="1"/>
  <c r="T14" i="2" s="1"/>
  <c r="Q11" i="2"/>
  <c r="R11" i="2" s="1"/>
  <c r="T11" i="2" s="1"/>
  <c r="Q6" i="2"/>
  <c r="R6" i="2" s="1"/>
  <c r="T6" i="2" s="1"/>
  <c r="Q33" i="2"/>
  <c r="R33" i="2" s="1"/>
  <c r="T33" i="2" s="1"/>
  <c r="Q32" i="2"/>
  <c r="R32" i="2" s="1"/>
  <c r="T32" i="2" s="1"/>
  <c r="Q31" i="2"/>
  <c r="R31" i="2" s="1"/>
  <c r="T31" i="2" s="1"/>
  <c r="Q30" i="2"/>
  <c r="R30" i="2" s="1"/>
  <c r="T30" i="2" s="1"/>
  <c r="Q29" i="2"/>
  <c r="R29" i="2" s="1"/>
  <c r="T29" i="2" s="1"/>
  <c r="Q28" i="2"/>
  <c r="R28" i="2" s="1"/>
  <c r="T28" i="2" s="1"/>
  <c r="Q27" i="2"/>
  <c r="R27" i="2" s="1"/>
  <c r="T27" i="2" s="1"/>
  <c r="Q26" i="2"/>
  <c r="R26" i="2"/>
  <c r="T26" i="2" s="1"/>
  <c r="Q25" i="2"/>
  <c r="R25" i="2"/>
  <c r="T25" i="2" s="1"/>
  <c r="Q24" i="2"/>
  <c r="R24" i="2" s="1"/>
  <c r="T24" i="2" s="1"/>
  <c r="Q23" i="2"/>
  <c r="R23" i="2"/>
  <c r="T23" i="2" s="1"/>
  <c r="Q22" i="2"/>
  <c r="R22" i="2" s="1"/>
  <c r="T22" i="2" s="1"/>
  <c r="Q43" i="2"/>
  <c r="R43" i="2" s="1"/>
  <c r="T43" i="2" s="1"/>
</calcChain>
</file>

<file path=xl/sharedStrings.xml><?xml version="1.0" encoding="utf-8"?>
<sst xmlns="http://schemas.openxmlformats.org/spreadsheetml/2006/main" count="73" uniqueCount="31">
  <si>
    <t>MAX DISCOUNT FEB 2026</t>
  </si>
  <si>
    <t>price package</t>
  </si>
  <si>
    <t>Max Discount percentage</t>
  </si>
  <si>
    <t>Price after Max Percentage Discount</t>
  </si>
  <si>
    <t>FREEGIFT</t>
  </si>
  <si>
    <t>ATAP REBATE</t>
  </si>
  <si>
    <t>ANG POW REBATE</t>
  </si>
  <si>
    <t>马上装 马上赚
CNY2026 Promo Reward
1 FEB~31 MAR 2026</t>
  </si>
  <si>
    <t>FINAL PRICE AFTER DISCOUNT</t>
  </si>
  <si>
    <t>ROADSHOW TNG REBATE</t>
  </si>
  <si>
    <t>FINAL PRICE AFTER DISCOUNT
(WITH TNG REBATE)</t>
  </si>
  <si>
    <t>NO.PANELS (650W STRING)</t>
  </si>
  <si>
    <t>RAYA Promo Reward
(1MAR~31MAR 2026)</t>
  </si>
  <si>
    <t>MAX DISCOUNT MAC 2026</t>
  </si>
  <si>
    <t>CEO PRICEING 空间</t>
  </si>
  <si>
    <t>CEO PRICING 底价</t>
  </si>
  <si>
    <t>CEO PRICING 可折扣数额</t>
  </si>
  <si>
    <t>超过CEO pricing空间后 AGENT 需要承担</t>
  </si>
  <si>
    <t>成本</t>
  </si>
  <si>
    <t>CEO低价-成本</t>
  </si>
  <si>
    <t>FINAL PRICE AFTER DISCOUNT-成本</t>
  </si>
  <si>
    <t>NO.PANELS</t>
  </si>
  <si>
    <t>NOW 650 PRICE 
+RM20/PANELS
(adjust)</t>
  </si>
  <si>
    <t>马上装 马上赚
CNY2026 Promo Reward
1 FEB~30 APR 2026</t>
  </si>
  <si>
    <t>650W MAX DISCOUNT APR 2026</t>
  </si>
  <si>
    <t>地球月
(1APR~30APR2026)</t>
  </si>
  <si>
    <t>利润</t>
  </si>
  <si>
    <t>利润
%</t>
  </si>
  <si>
    <t>final  discount price</t>
  </si>
  <si>
    <t>650W MAX DISCOUNT MAY 2026(THREE PHASE)</t>
  </si>
  <si>
    <t>650W MAX DISCOUNT MAY 2026(SINGLE PHASE)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</si>
</sst>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M-4409]* #,##0.00_-;\-[$RM-4409]* #,##0.00_-;_-[$RM-4409]* &quot;-&quot;??_-;_-@_-"/>
  </numFmts>
  <fonts count="4" x14ac:knownFonts="1">
    <font>
      <sz val="11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7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1" fontId="0" fillId="0" borderId="1" xfId="0" applyNumberFormat="1" applyBorder="1"/>
    <xf numFmtId="0" fontId="0" fillId="3" borderId="0" xfId="0" applyFill="1"/>
    <xf numFmtId="1" fontId="0" fillId="3" borderId="1" xfId="0" applyNumberFormat="1" applyFill="1" applyBorder="1"/>
    <xf numFmtId="1" fontId="0" fillId="2" borderId="1" xfId="0" applyNumberFormat="1" applyFill="1" applyBorder="1"/>
    <xf numFmtId="0" fontId="0" fillId="5" borderId="2" xfId="0" applyFill="1" applyBorder="1" applyAlignment="1">
      <alignment wrapText="1"/>
    </xf>
    <xf numFmtId="1" fontId="0" fillId="5" borderId="1" xfId="0" applyNumberFormat="1" applyFill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64" fontId="0" fillId="2" borderId="1" xfId="0" applyNumberFormat="1" applyFill="1" applyBorder="1"/>
    <xf numFmtId="164" fontId="0" fillId="5" borderId="1" xfId="0" applyNumberFormat="1" applyFill="1" applyBorder="1"/>
    <xf numFmtId="164" fontId="0" fillId="0" borderId="1" xfId="0" applyNumberFormat="1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wrapText="1"/>
    </xf>
    <xf numFmtId="1" fontId="2" fillId="2" borderId="1" xfId="0" applyNumberFormat="1" applyFont="1" applyFill="1" applyBorder="1"/>
    <xf numFmtId="1" fontId="2" fillId="3" borderId="1" xfId="0" applyNumberFormat="1" applyFont="1" applyFill="1" applyBorder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3" borderId="1" xfId="0" applyNumberFormat="1" applyFill="1" applyBorder="1"/>
    <xf numFmtId="164" fontId="0" fillId="3" borderId="1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2" fillId="6" borderId="1" xfId="0" applyNumberFormat="1" applyFont="1" applyFill="1" applyBorder="1"/>
    <xf numFmtId="164" fontId="0" fillId="6" borderId="1" xfId="0" applyNumberFormat="1" applyFill="1" applyBorder="1"/>
    <xf numFmtId="164" fontId="0" fillId="6" borderId="1" xfId="0" applyNumberFormat="1" applyFill="1" applyBorder="1" applyAlignment="1">
      <alignment vertical="center"/>
    </xf>
    <xf numFmtId="164" fontId="0" fillId="6" borderId="1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7" borderId="1" xfId="0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9" fontId="0" fillId="5" borderId="1" xfId="1" applyFont="1" applyFill="1" applyBorder="1"/>
    <xf numFmtId="0" fontId="0" fillId="5" borderId="0" xfId="0" applyFill="1"/>
    <xf numFmtId="1" fontId="2" fillId="2" borderId="1" xfId="0" applyNumberFormat="1" applyFont="1" applyFill="1" applyBorder="1" applyAlignment="1">
      <alignment horizontal="right" vertical="top" wrapText="1"/>
    </xf>
    <xf numFmtId="164" fontId="0" fillId="7" borderId="1" xfId="0" applyNumberFormat="1" applyFill="1" applyBorder="1"/>
    <xf numFmtId="0" fontId="1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8" borderId="5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Q21" sqref="Q21"/>
    </sheetView>
  </sheetViews>
  <sheetFormatPr defaultRowHeight="14.4" x14ac:dyDescent="0.3"/>
  <cols>
    <col min="1" max="1" width="12.5546875" customWidth="1"/>
    <col min="3" max="3" width="12.5546875" customWidth="1"/>
    <col min="4" max="4" width="11.6640625" customWidth="1"/>
    <col min="8" max="8" width="14.33203125" customWidth="1"/>
    <col min="9" max="9" width="10.44140625" customWidth="1"/>
    <col min="10" max="10" width="12.6640625" customWidth="1"/>
    <col min="11" max="11" width="12.33203125" customWidth="1"/>
  </cols>
  <sheetData>
    <row r="1" spans="1:11" ht="25.8" x14ac:dyDescent="0.5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s="16" customFormat="1" ht="72" x14ac:dyDescent="0.3">
      <c r="A2" s="1" t="s">
        <v>11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4" t="s">
        <v>9</v>
      </c>
      <c r="K2" s="14" t="s">
        <v>10</v>
      </c>
    </row>
    <row r="3" spans="1:11" x14ac:dyDescent="0.3">
      <c r="A3" s="5">
        <v>8</v>
      </c>
      <c r="B3">
        <v>18940</v>
      </c>
      <c r="C3" s="61">
        <v>0.05</v>
      </c>
      <c r="D3" s="10">
        <f>B3*0.95</f>
        <v>17993</v>
      </c>
      <c r="E3" s="5">
        <v>600</v>
      </c>
      <c r="F3" s="8">
        <v>1500</v>
      </c>
      <c r="G3" s="8">
        <v>500</v>
      </c>
      <c r="H3" s="8"/>
      <c r="I3" s="13">
        <f>D3-E3-F3-G3-H3</f>
        <v>15393</v>
      </c>
      <c r="J3" s="8">
        <v>200</v>
      </c>
      <c r="K3" s="15">
        <f>I3-J3</f>
        <v>15193</v>
      </c>
    </row>
    <row r="4" spans="1:11" x14ac:dyDescent="0.3">
      <c r="A4" s="5">
        <v>9</v>
      </c>
      <c r="B4">
        <v>20029</v>
      </c>
      <c r="C4" s="62"/>
      <c r="D4" s="10">
        <f t="shared" ref="D4:D11" si="0">B4*0.95</f>
        <v>19027.55</v>
      </c>
      <c r="E4" s="5">
        <v>600</v>
      </c>
      <c r="F4" s="8">
        <v>1500</v>
      </c>
      <c r="G4" s="8">
        <v>500</v>
      </c>
      <c r="H4" s="8"/>
      <c r="I4" s="13">
        <f t="shared" ref="I4:I43" si="1">D4-E4-F4-G4-H4</f>
        <v>16427.55</v>
      </c>
      <c r="J4" s="8">
        <v>200</v>
      </c>
      <c r="K4" s="15">
        <f t="shared" ref="K4:K43" si="2">I4-J4</f>
        <v>16227.55</v>
      </c>
    </row>
    <row r="5" spans="1:11" x14ac:dyDescent="0.3">
      <c r="A5" s="5">
        <v>10</v>
      </c>
      <c r="B5">
        <v>21119</v>
      </c>
      <c r="C5" s="62"/>
      <c r="D5" s="10">
        <f t="shared" si="0"/>
        <v>20063.05</v>
      </c>
      <c r="E5" s="5">
        <v>600</v>
      </c>
      <c r="F5" s="8">
        <v>1500</v>
      </c>
      <c r="G5" s="8">
        <v>500</v>
      </c>
      <c r="H5" s="8"/>
      <c r="I5" s="13">
        <f t="shared" si="1"/>
        <v>17463.05</v>
      </c>
      <c r="J5" s="8">
        <v>200</v>
      </c>
      <c r="K5" s="15">
        <f t="shared" si="2"/>
        <v>17263.05</v>
      </c>
    </row>
    <row r="6" spans="1:11" x14ac:dyDescent="0.3">
      <c r="A6" s="5">
        <v>11</v>
      </c>
      <c r="B6">
        <v>23883</v>
      </c>
      <c r="C6" s="62"/>
      <c r="D6" s="10">
        <f t="shared" si="0"/>
        <v>22688.85</v>
      </c>
      <c r="E6" s="5">
        <v>600</v>
      </c>
      <c r="F6" s="8">
        <v>1500</v>
      </c>
      <c r="G6" s="8">
        <v>500</v>
      </c>
      <c r="H6" s="8"/>
      <c r="I6" s="13">
        <f t="shared" si="1"/>
        <v>20088.849999999999</v>
      </c>
      <c r="J6" s="8">
        <v>200</v>
      </c>
      <c r="K6" s="15">
        <f t="shared" si="2"/>
        <v>19888.849999999999</v>
      </c>
    </row>
    <row r="7" spans="1:11" s="11" customFormat="1" x14ac:dyDescent="0.3">
      <c r="A7" s="6">
        <v>12</v>
      </c>
      <c r="B7" s="11">
        <v>24985</v>
      </c>
      <c r="C7" s="62"/>
      <c r="D7" s="12">
        <f t="shared" si="0"/>
        <v>23735.75</v>
      </c>
      <c r="E7" s="6">
        <v>600</v>
      </c>
      <c r="F7" s="9">
        <v>1500</v>
      </c>
      <c r="G7" s="9">
        <v>500</v>
      </c>
      <c r="H7" s="9">
        <v>1000</v>
      </c>
      <c r="I7" s="13">
        <f t="shared" si="1"/>
        <v>20135.75</v>
      </c>
      <c r="J7" s="9">
        <v>200</v>
      </c>
      <c r="K7" s="15">
        <f t="shared" si="2"/>
        <v>19935.75</v>
      </c>
    </row>
    <row r="8" spans="1:11" x14ac:dyDescent="0.3">
      <c r="A8" s="5">
        <v>13</v>
      </c>
      <c r="B8">
        <v>26182</v>
      </c>
      <c r="C8" s="62"/>
      <c r="D8" s="10">
        <f t="shared" si="0"/>
        <v>24872.899999999998</v>
      </c>
      <c r="E8" s="5">
        <v>600</v>
      </c>
      <c r="F8" s="8">
        <v>1500</v>
      </c>
      <c r="G8" s="8">
        <v>500</v>
      </c>
      <c r="H8" s="8">
        <v>1000</v>
      </c>
      <c r="I8" s="13">
        <f t="shared" si="1"/>
        <v>21272.899999999998</v>
      </c>
      <c r="J8" s="8">
        <v>200</v>
      </c>
      <c r="K8" s="15">
        <f t="shared" si="2"/>
        <v>21072.899999999998</v>
      </c>
    </row>
    <row r="9" spans="1:11" x14ac:dyDescent="0.3">
      <c r="A9" s="5">
        <v>14</v>
      </c>
      <c r="B9">
        <v>27930</v>
      </c>
      <c r="C9" s="62"/>
      <c r="D9" s="10">
        <f t="shared" si="0"/>
        <v>26533.5</v>
      </c>
      <c r="E9" s="5">
        <v>600</v>
      </c>
      <c r="F9" s="8">
        <v>1500</v>
      </c>
      <c r="G9" s="8">
        <v>500</v>
      </c>
      <c r="H9" s="8">
        <v>1000</v>
      </c>
      <c r="I9" s="13">
        <f t="shared" si="1"/>
        <v>22933.5</v>
      </c>
      <c r="J9" s="8">
        <v>200</v>
      </c>
      <c r="K9" s="15">
        <f t="shared" si="2"/>
        <v>22733.5</v>
      </c>
    </row>
    <row r="10" spans="1:11" x14ac:dyDescent="0.3">
      <c r="A10" s="5">
        <v>15</v>
      </c>
      <c r="B10">
        <v>29908</v>
      </c>
      <c r="C10" s="62"/>
      <c r="D10" s="10">
        <f t="shared" si="0"/>
        <v>28412.6</v>
      </c>
      <c r="E10" s="5">
        <v>600</v>
      </c>
      <c r="F10" s="8">
        <v>1500</v>
      </c>
      <c r="G10" s="8">
        <v>500</v>
      </c>
      <c r="H10" s="8">
        <v>1000</v>
      </c>
      <c r="I10" s="13">
        <f t="shared" si="1"/>
        <v>24812.6</v>
      </c>
      <c r="J10" s="8">
        <v>200</v>
      </c>
      <c r="K10" s="15">
        <f t="shared" si="2"/>
        <v>24612.6</v>
      </c>
    </row>
    <row r="11" spans="1:11" x14ac:dyDescent="0.3">
      <c r="A11" s="5">
        <v>16</v>
      </c>
      <c r="B11">
        <v>30794</v>
      </c>
      <c r="C11" s="62"/>
      <c r="D11" s="10">
        <f t="shared" si="0"/>
        <v>29254.3</v>
      </c>
      <c r="E11" s="5">
        <v>600</v>
      </c>
      <c r="F11" s="8">
        <v>1500</v>
      </c>
      <c r="G11" s="8">
        <v>500</v>
      </c>
      <c r="H11" s="8">
        <v>1000</v>
      </c>
      <c r="I11" s="13">
        <f t="shared" si="1"/>
        <v>25654.3</v>
      </c>
      <c r="J11" s="8">
        <v>200</v>
      </c>
      <c r="K11" s="15">
        <f t="shared" si="2"/>
        <v>25454.3</v>
      </c>
    </row>
    <row r="12" spans="1:11" x14ac:dyDescent="0.3">
      <c r="A12" s="5">
        <v>17</v>
      </c>
      <c r="B12">
        <v>31890</v>
      </c>
      <c r="C12" s="61">
        <v>0.06</v>
      </c>
      <c r="D12" s="10">
        <f>B12*0.94</f>
        <v>29976.6</v>
      </c>
      <c r="E12" s="5">
        <v>1000</v>
      </c>
      <c r="F12" s="8">
        <v>1500</v>
      </c>
      <c r="G12" s="8">
        <v>500</v>
      </c>
      <c r="H12" s="8">
        <v>1000</v>
      </c>
      <c r="I12" s="13">
        <f t="shared" si="1"/>
        <v>25976.6</v>
      </c>
      <c r="J12" s="8">
        <v>300</v>
      </c>
      <c r="K12" s="15">
        <f t="shared" si="2"/>
        <v>25676.6</v>
      </c>
    </row>
    <row r="13" spans="1:11" x14ac:dyDescent="0.3">
      <c r="A13" s="5">
        <v>18</v>
      </c>
      <c r="B13">
        <v>33221</v>
      </c>
      <c r="C13" s="62"/>
      <c r="D13" s="10">
        <f t="shared" ref="D13:D19" si="3">B13*0.94</f>
        <v>31227.739999999998</v>
      </c>
      <c r="E13" s="5">
        <v>1000</v>
      </c>
      <c r="F13" s="8">
        <v>1500</v>
      </c>
      <c r="G13" s="8">
        <v>500</v>
      </c>
      <c r="H13" s="8">
        <v>1000</v>
      </c>
      <c r="I13" s="13">
        <f t="shared" si="1"/>
        <v>27227.739999999998</v>
      </c>
      <c r="J13" s="8">
        <v>300</v>
      </c>
      <c r="K13" s="15">
        <f t="shared" si="2"/>
        <v>26927.739999999998</v>
      </c>
    </row>
    <row r="14" spans="1:11" s="11" customFormat="1" x14ac:dyDescent="0.3">
      <c r="A14" s="6">
        <v>19</v>
      </c>
      <c r="B14" s="11">
        <v>35977</v>
      </c>
      <c r="C14" s="62"/>
      <c r="D14" s="12">
        <f t="shared" si="3"/>
        <v>33818.379999999997</v>
      </c>
      <c r="E14" s="6">
        <v>1000</v>
      </c>
      <c r="F14" s="9">
        <v>3000</v>
      </c>
      <c r="G14" s="9">
        <v>900</v>
      </c>
      <c r="H14" s="9">
        <v>1500</v>
      </c>
      <c r="I14" s="13">
        <f t="shared" si="1"/>
        <v>27418.379999999997</v>
      </c>
      <c r="J14" s="9">
        <v>300</v>
      </c>
      <c r="K14" s="15">
        <f t="shared" si="2"/>
        <v>27118.379999999997</v>
      </c>
    </row>
    <row r="15" spans="1:11" x14ac:dyDescent="0.3">
      <c r="A15" s="5">
        <v>20</v>
      </c>
      <c r="B15">
        <v>37414</v>
      </c>
      <c r="C15" s="62"/>
      <c r="D15" s="10">
        <f t="shared" si="3"/>
        <v>35169.159999999996</v>
      </c>
      <c r="E15" s="5">
        <v>1000</v>
      </c>
      <c r="F15" s="8">
        <v>3000</v>
      </c>
      <c r="G15" s="8">
        <v>900</v>
      </c>
      <c r="H15" s="8">
        <v>1500</v>
      </c>
      <c r="I15" s="13">
        <f t="shared" si="1"/>
        <v>28769.159999999996</v>
      </c>
      <c r="J15" s="8">
        <v>300</v>
      </c>
      <c r="K15" s="15">
        <f t="shared" si="2"/>
        <v>28469.159999999996</v>
      </c>
    </row>
    <row r="16" spans="1:11" x14ac:dyDescent="0.3">
      <c r="A16" s="5">
        <v>21</v>
      </c>
      <c r="B16">
        <v>38591</v>
      </c>
      <c r="C16" s="62"/>
      <c r="D16" s="10">
        <f t="shared" si="3"/>
        <v>36275.54</v>
      </c>
      <c r="E16" s="5">
        <v>1000</v>
      </c>
      <c r="F16" s="8">
        <v>3000</v>
      </c>
      <c r="G16" s="8">
        <v>900</v>
      </c>
      <c r="H16" s="8">
        <v>1500</v>
      </c>
      <c r="I16" s="13">
        <f t="shared" si="1"/>
        <v>29875.54</v>
      </c>
      <c r="J16" s="8">
        <v>300</v>
      </c>
      <c r="K16" s="15">
        <f t="shared" si="2"/>
        <v>29575.54</v>
      </c>
    </row>
    <row r="17" spans="1:11" x14ac:dyDescent="0.3">
      <c r="A17" s="5">
        <v>22</v>
      </c>
      <c r="B17">
        <v>39784</v>
      </c>
      <c r="C17" s="62"/>
      <c r="D17" s="10">
        <f t="shared" si="3"/>
        <v>37396.959999999999</v>
      </c>
      <c r="E17" s="5">
        <v>1000</v>
      </c>
      <c r="F17" s="8">
        <v>3000</v>
      </c>
      <c r="G17" s="8">
        <v>900</v>
      </c>
      <c r="H17" s="8">
        <v>1500</v>
      </c>
      <c r="I17" s="13">
        <f t="shared" si="1"/>
        <v>30996.959999999999</v>
      </c>
      <c r="J17" s="8">
        <v>300</v>
      </c>
      <c r="K17" s="15">
        <f t="shared" si="2"/>
        <v>30696.959999999999</v>
      </c>
    </row>
    <row r="18" spans="1:11" x14ac:dyDescent="0.3">
      <c r="A18" s="7">
        <v>23</v>
      </c>
      <c r="B18">
        <v>40869</v>
      </c>
      <c r="C18" s="62"/>
      <c r="D18" s="10">
        <f t="shared" si="3"/>
        <v>38416.86</v>
      </c>
      <c r="E18" s="5">
        <v>1000</v>
      </c>
      <c r="F18" s="8">
        <v>3000</v>
      </c>
      <c r="G18" s="8">
        <v>900</v>
      </c>
      <c r="H18" s="8">
        <v>1500</v>
      </c>
      <c r="I18" s="13">
        <f t="shared" si="1"/>
        <v>32016.86</v>
      </c>
      <c r="J18" s="8">
        <v>300</v>
      </c>
      <c r="K18" s="15">
        <f t="shared" si="2"/>
        <v>31716.86</v>
      </c>
    </row>
    <row r="19" spans="1:11" x14ac:dyDescent="0.3">
      <c r="A19" s="5">
        <v>24</v>
      </c>
      <c r="B19">
        <v>41961</v>
      </c>
      <c r="C19" s="62"/>
      <c r="D19" s="10">
        <f t="shared" si="3"/>
        <v>39443.339999999997</v>
      </c>
      <c r="E19" s="5">
        <v>1000</v>
      </c>
      <c r="F19" s="8">
        <v>3000</v>
      </c>
      <c r="G19" s="8">
        <v>900</v>
      </c>
      <c r="H19" s="8">
        <v>1500</v>
      </c>
      <c r="I19" s="13">
        <f t="shared" si="1"/>
        <v>33043.339999999997</v>
      </c>
      <c r="J19" s="8">
        <v>400</v>
      </c>
      <c r="K19" s="15">
        <f t="shared" si="2"/>
        <v>32643.339999999997</v>
      </c>
    </row>
    <row r="20" spans="1:11" s="11" customFormat="1" x14ac:dyDescent="0.3">
      <c r="A20" s="6">
        <v>25</v>
      </c>
      <c r="B20" s="11">
        <v>43025</v>
      </c>
      <c r="C20" s="61">
        <v>7.0000000000000007E-2</v>
      </c>
      <c r="D20" s="12">
        <f>B20*0.93</f>
        <v>40013.25</v>
      </c>
      <c r="E20" s="6">
        <v>1000</v>
      </c>
      <c r="F20" s="9">
        <v>3000</v>
      </c>
      <c r="G20" s="9">
        <v>900</v>
      </c>
      <c r="H20" s="9">
        <v>1500</v>
      </c>
      <c r="I20" s="13">
        <f t="shared" si="1"/>
        <v>33613.25</v>
      </c>
      <c r="J20" s="9">
        <v>400</v>
      </c>
      <c r="K20" s="15">
        <f t="shared" si="2"/>
        <v>33213.25</v>
      </c>
    </row>
    <row r="21" spans="1:11" x14ac:dyDescent="0.3">
      <c r="A21" s="5">
        <v>26</v>
      </c>
      <c r="B21">
        <v>44288</v>
      </c>
      <c r="C21" s="62"/>
      <c r="D21" s="10">
        <f t="shared" ref="D21:D43" si="4">B21*0.93</f>
        <v>41187.840000000004</v>
      </c>
      <c r="E21" s="5">
        <v>1000</v>
      </c>
      <c r="F21" s="8">
        <v>3000</v>
      </c>
      <c r="G21" s="8">
        <v>900</v>
      </c>
      <c r="H21" s="8">
        <v>2000</v>
      </c>
      <c r="I21" s="13">
        <f t="shared" si="1"/>
        <v>34287.840000000004</v>
      </c>
      <c r="J21" s="8">
        <v>400</v>
      </c>
      <c r="K21" s="15">
        <f t="shared" si="2"/>
        <v>33887.840000000004</v>
      </c>
    </row>
    <row r="22" spans="1:11" x14ac:dyDescent="0.3">
      <c r="A22" s="5">
        <v>27</v>
      </c>
      <c r="B22">
        <v>45362</v>
      </c>
      <c r="C22" s="62"/>
      <c r="D22" s="10">
        <f t="shared" si="4"/>
        <v>42186.66</v>
      </c>
      <c r="E22" s="5">
        <v>1000</v>
      </c>
      <c r="F22" s="8">
        <v>3000</v>
      </c>
      <c r="G22" s="8">
        <v>900</v>
      </c>
      <c r="H22" s="8">
        <v>2000</v>
      </c>
      <c r="I22" s="13">
        <f t="shared" si="1"/>
        <v>35286.660000000003</v>
      </c>
      <c r="J22" s="8">
        <v>400</v>
      </c>
      <c r="K22" s="15">
        <f t="shared" si="2"/>
        <v>34886.660000000003</v>
      </c>
    </row>
    <row r="23" spans="1:11" x14ac:dyDescent="0.3">
      <c r="A23" s="5">
        <v>28</v>
      </c>
      <c r="B23">
        <v>46437</v>
      </c>
      <c r="C23" s="62"/>
      <c r="D23" s="10">
        <f t="shared" si="4"/>
        <v>43186.41</v>
      </c>
      <c r="E23" s="5">
        <v>1000</v>
      </c>
      <c r="F23" s="8">
        <v>3000</v>
      </c>
      <c r="G23" s="8">
        <v>900</v>
      </c>
      <c r="H23" s="8">
        <v>2000</v>
      </c>
      <c r="I23" s="13">
        <f t="shared" si="1"/>
        <v>36286.410000000003</v>
      </c>
      <c r="J23" s="8">
        <v>400</v>
      </c>
      <c r="K23" s="15">
        <f t="shared" si="2"/>
        <v>35886.410000000003</v>
      </c>
    </row>
    <row r="24" spans="1:11" x14ac:dyDescent="0.3">
      <c r="A24" s="5">
        <v>29</v>
      </c>
      <c r="B24">
        <v>47556</v>
      </c>
      <c r="C24" s="62"/>
      <c r="D24" s="10">
        <f t="shared" si="4"/>
        <v>44227.08</v>
      </c>
      <c r="E24" s="5">
        <v>1000</v>
      </c>
      <c r="F24" s="8">
        <v>3000</v>
      </c>
      <c r="G24" s="8">
        <v>900</v>
      </c>
      <c r="H24" s="8">
        <v>2000</v>
      </c>
      <c r="I24" s="13">
        <f t="shared" si="1"/>
        <v>37327.08</v>
      </c>
      <c r="J24" s="8">
        <v>400</v>
      </c>
      <c r="K24" s="15">
        <f t="shared" si="2"/>
        <v>36927.08</v>
      </c>
    </row>
    <row r="25" spans="1:11" s="11" customFormat="1" x14ac:dyDescent="0.3">
      <c r="A25" s="6">
        <v>30</v>
      </c>
      <c r="B25" s="11">
        <v>48629</v>
      </c>
      <c r="C25" s="62"/>
      <c r="D25" s="12">
        <f t="shared" si="4"/>
        <v>45224.97</v>
      </c>
      <c r="E25" s="6">
        <v>1000</v>
      </c>
      <c r="F25" s="9">
        <v>3000</v>
      </c>
      <c r="G25" s="9">
        <v>900</v>
      </c>
      <c r="H25" s="9">
        <v>2000</v>
      </c>
      <c r="I25" s="13">
        <f t="shared" si="1"/>
        <v>38324.97</v>
      </c>
      <c r="J25" s="9">
        <v>400</v>
      </c>
      <c r="K25" s="15">
        <f t="shared" si="2"/>
        <v>37924.97</v>
      </c>
    </row>
    <row r="26" spans="1:11" x14ac:dyDescent="0.3">
      <c r="A26" s="5">
        <v>31</v>
      </c>
      <c r="B26">
        <v>50642</v>
      </c>
      <c r="C26" s="62"/>
      <c r="D26" s="10">
        <f t="shared" si="4"/>
        <v>47097.060000000005</v>
      </c>
      <c r="E26" s="5">
        <v>1000</v>
      </c>
      <c r="F26" s="8">
        <v>3000</v>
      </c>
      <c r="G26" s="8">
        <v>900</v>
      </c>
      <c r="H26" s="8">
        <v>2500</v>
      </c>
      <c r="I26" s="13">
        <f t="shared" si="1"/>
        <v>39697.060000000005</v>
      </c>
      <c r="J26" s="8">
        <v>400</v>
      </c>
      <c r="K26" s="15">
        <f t="shared" si="2"/>
        <v>39297.060000000005</v>
      </c>
    </row>
    <row r="27" spans="1:11" x14ac:dyDescent="0.3">
      <c r="A27" s="5">
        <v>32</v>
      </c>
      <c r="B27">
        <v>52210</v>
      </c>
      <c r="C27" s="62"/>
      <c r="D27" s="10">
        <f t="shared" si="4"/>
        <v>48555.3</v>
      </c>
      <c r="E27" s="5">
        <v>1000</v>
      </c>
      <c r="F27" s="8">
        <v>3000</v>
      </c>
      <c r="G27" s="8">
        <v>900</v>
      </c>
      <c r="H27" s="8">
        <v>2500</v>
      </c>
      <c r="I27" s="13">
        <f t="shared" si="1"/>
        <v>41155.300000000003</v>
      </c>
      <c r="J27" s="8">
        <v>500</v>
      </c>
      <c r="K27" s="15">
        <f t="shared" si="2"/>
        <v>40655.300000000003</v>
      </c>
    </row>
    <row r="28" spans="1:11" x14ac:dyDescent="0.3">
      <c r="A28" s="5">
        <v>33</v>
      </c>
      <c r="B28">
        <v>53290</v>
      </c>
      <c r="C28" s="62"/>
      <c r="D28" s="10">
        <f t="shared" si="4"/>
        <v>49559.700000000004</v>
      </c>
      <c r="E28" s="5">
        <v>1000</v>
      </c>
      <c r="F28" s="8">
        <v>3000</v>
      </c>
      <c r="G28" s="8">
        <v>900</v>
      </c>
      <c r="H28" s="8">
        <v>2500</v>
      </c>
      <c r="I28" s="13">
        <f t="shared" si="1"/>
        <v>42159.700000000004</v>
      </c>
      <c r="J28" s="8">
        <v>500</v>
      </c>
      <c r="K28" s="15">
        <f t="shared" si="2"/>
        <v>41659.700000000004</v>
      </c>
    </row>
    <row r="29" spans="1:11" x14ac:dyDescent="0.3">
      <c r="A29" s="5">
        <v>34</v>
      </c>
      <c r="B29">
        <v>54398</v>
      </c>
      <c r="C29" s="62"/>
      <c r="D29" s="10">
        <f t="shared" si="4"/>
        <v>50590.14</v>
      </c>
      <c r="E29" s="5">
        <v>1000</v>
      </c>
      <c r="F29" s="8">
        <v>3000</v>
      </c>
      <c r="G29" s="8">
        <v>900</v>
      </c>
      <c r="H29" s="8">
        <v>2500</v>
      </c>
      <c r="I29" s="13">
        <f t="shared" si="1"/>
        <v>43190.14</v>
      </c>
      <c r="J29" s="8">
        <v>500</v>
      </c>
      <c r="K29" s="15">
        <f t="shared" si="2"/>
        <v>42690.14</v>
      </c>
    </row>
    <row r="30" spans="1:11" x14ac:dyDescent="0.3">
      <c r="A30" s="5">
        <v>35</v>
      </c>
      <c r="B30">
        <v>55481</v>
      </c>
      <c r="C30" s="62"/>
      <c r="D30" s="10">
        <f t="shared" si="4"/>
        <v>51597.33</v>
      </c>
      <c r="E30" s="5">
        <v>1000</v>
      </c>
      <c r="F30" s="8">
        <v>3000</v>
      </c>
      <c r="G30" s="8">
        <v>900</v>
      </c>
      <c r="H30" s="8">
        <v>2500</v>
      </c>
      <c r="I30" s="13">
        <f t="shared" si="1"/>
        <v>44197.33</v>
      </c>
      <c r="J30" s="8">
        <v>500</v>
      </c>
      <c r="K30" s="15">
        <f t="shared" si="2"/>
        <v>43697.33</v>
      </c>
    </row>
    <row r="31" spans="1:11" s="11" customFormat="1" x14ac:dyDescent="0.3">
      <c r="A31" s="6">
        <v>36</v>
      </c>
      <c r="B31" s="11">
        <v>56565</v>
      </c>
      <c r="C31" s="62"/>
      <c r="D31" s="12">
        <f t="shared" si="4"/>
        <v>52605.450000000004</v>
      </c>
      <c r="E31" s="6">
        <v>1000</v>
      </c>
      <c r="F31" s="9">
        <v>3000</v>
      </c>
      <c r="G31" s="9">
        <v>900</v>
      </c>
      <c r="H31" s="9">
        <v>2500</v>
      </c>
      <c r="I31" s="13">
        <f t="shared" si="1"/>
        <v>45205.450000000004</v>
      </c>
      <c r="J31" s="9">
        <v>500</v>
      </c>
      <c r="K31" s="15">
        <f t="shared" si="2"/>
        <v>44705.450000000004</v>
      </c>
    </row>
    <row r="32" spans="1:11" x14ac:dyDescent="0.3">
      <c r="A32" s="5">
        <v>37</v>
      </c>
      <c r="B32">
        <v>57653</v>
      </c>
      <c r="C32" s="62"/>
      <c r="D32" s="10">
        <f t="shared" si="4"/>
        <v>53617.29</v>
      </c>
      <c r="E32" s="5">
        <v>1000</v>
      </c>
      <c r="F32" s="8">
        <v>3000</v>
      </c>
      <c r="G32" s="8">
        <v>900</v>
      </c>
      <c r="H32" s="8">
        <v>2500</v>
      </c>
      <c r="I32" s="13">
        <f t="shared" si="1"/>
        <v>46217.29</v>
      </c>
      <c r="J32" s="8">
        <v>500</v>
      </c>
      <c r="K32" s="15">
        <f t="shared" si="2"/>
        <v>45717.29</v>
      </c>
    </row>
    <row r="33" spans="1:11" x14ac:dyDescent="0.3">
      <c r="A33" s="5">
        <v>38</v>
      </c>
      <c r="B33">
        <v>58745</v>
      </c>
      <c r="C33" s="62"/>
      <c r="D33" s="10">
        <f t="shared" si="4"/>
        <v>54632.850000000006</v>
      </c>
      <c r="E33" s="5">
        <v>1000</v>
      </c>
      <c r="F33" s="8">
        <v>3000</v>
      </c>
      <c r="G33" s="8">
        <v>900</v>
      </c>
      <c r="H33" s="8">
        <v>2500</v>
      </c>
      <c r="I33" s="13">
        <f t="shared" si="1"/>
        <v>47232.850000000006</v>
      </c>
      <c r="J33" s="8">
        <v>500</v>
      </c>
      <c r="K33" s="15">
        <f t="shared" si="2"/>
        <v>46732.850000000006</v>
      </c>
    </row>
    <row r="34" spans="1:11" x14ac:dyDescent="0.3">
      <c r="A34" s="5">
        <v>39</v>
      </c>
      <c r="B34">
        <v>60218</v>
      </c>
      <c r="C34" s="62"/>
      <c r="D34" s="10">
        <f t="shared" si="4"/>
        <v>56002.740000000005</v>
      </c>
      <c r="E34" s="5">
        <v>1000</v>
      </c>
      <c r="F34" s="8">
        <v>3000</v>
      </c>
      <c r="G34" s="8">
        <v>900</v>
      </c>
      <c r="H34" s="8">
        <v>2500</v>
      </c>
      <c r="I34" s="13">
        <f t="shared" si="1"/>
        <v>48602.740000000005</v>
      </c>
      <c r="J34" s="8">
        <v>500</v>
      </c>
      <c r="K34" s="15">
        <f t="shared" si="2"/>
        <v>48102.740000000005</v>
      </c>
    </row>
    <row r="35" spans="1:11" x14ac:dyDescent="0.3">
      <c r="A35" s="5">
        <v>40</v>
      </c>
      <c r="B35">
        <v>61307</v>
      </c>
      <c r="C35" s="62"/>
      <c r="D35" s="10">
        <f t="shared" si="4"/>
        <v>57015.51</v>
      </c>
      <c r="E35" s="5">
        <v>1000</v>
      </c>
      <c r="F35" s="8">
        <v>3000</v>
      </c>
      <c r="G35" s="8">
        <v>900</v>
      </c>
      <c r="H35" s="8">
        <v>2500</v>
      </c>
      <c r="I35" s="13">
        <f t="shared" si="1"/>
        <v>49615.51</v>
      </c>
      <c r="J35" s="8">
        <v>500</v>
      </c>
      <c r="K35" s="15">
        <f t="shared" si="2"/>
        <v>49115.51</v>
      </c>
    </row>
    <row r="36" spans="1:11" x14ac:dyDescent="0.3">
      <c r="A36" s="5">
        <v>41</v>
      </c>
      <c r="B36">
        <v>62405</v>
      </c>
      <c r="C36" s="62"/>
      <c r="D36" s="10">
        <f t="shared" si="4"/>
        <v>58036.65</v>
      </c>
      <c r="E36" s="5">
        <v>1000</v>
      </c>
      <c r="F36" s="8">
        <v>3000</v>
      </c>
      <c r="G36" s="8">
        <v>900</v>
      </c>
      <c r="H36" s="8">
        <v>2500</v>
      </c>
      <c r="I36" s="13">
        <f t="shared" si="1"/>
        <v>50636.65</v>
      </c>
      <c r="J36" s="8">
        <v>500</v>
      </c>
      <c r="K36" s="15">
        <f t="shared" si="2"/>
        <v>50136.65</v>
      </c>
    </row>
    <row r="37" spans="1:11" x14ac:dyDescent="0.3">
      <c r="A37" s="5">
        <v>42</v>
      </c>
      <c r="B37">
        <v>63458</v>
      </c>
      <c r="C37" s="62"/>
      <c r="D37" s="10">
        <f t="shared" si="4"/>
        <v>59015.94</v>
      </c>
      <c r="E37" s="5">
        <v>1000</v>
      </c>
      <c r="F37" s="8">
        <v>3000</v>
      </c>
      <c r="G37" s="8">
        <v>900</v>
      </c>
      <c r="H37" s="8">
        <v>2500</v>
      </c>
      <c r="I37" s="13">
        <f t="shared" si="1"/>
        <v>51615.94</v>
      </c>
      <c r="J37" s="8">
        <v>500</v>
      </c>
      <c r="K37" s="15">
        <f t="shared" si="2"/>
        <v>51115.94</v>
      </c>
    </row>
    <row r="38" spans="1:11" x14ac:dyDescent="0.3">
      <c r="A38" s="5">
        <v>43</v>
      </c>
      <c r="B38">
        <v>64572</v>
      </c>
      <c r="C38" s="62"/>
      <c r="D38" s="10">
        <f t="shared" si="4"/>
        <v>60051.960000000006</v>
      </c>
      <c r="E38" s="5">
        <v>1000</v>
      </c>
      <c r="F38" s="8">
        <v>3000</v>
      </c>
      <c r="G38" s="8">
        <v>900</v>
      </c>
      <c r="H38" s="8">
        <v>2500</v>
      </c>
      <c r="I38" s="13">
        <f t="shared" si="1"/>
        <v>52651.960000000006</v>
      </c>
      <c r="J38" s="8">
        <v>500</v>
      </c>
      <c r="K38" s="15">
        <f t="shared" si="2"/>
        <v>52151.960000000006</v>
      </c>
    </row>
    <row r="39" spans="1:11" x14ac:dyDescent="0.3">
      <c r="A39" s="5">
        <v>44</v>
      </c>
      <c r="B39">
        <v>65663</v>
      </c>
      <c r="C39" s="62"/>
      <c r="D39" s="10">
        <f t="shared" si="4"/>
        <v>61066.590000000004</v>
      </c>
      <c r="E39" s="5">
        <v>1000</v>
      </c>
      <c r="F39" s="8">
        <v>3000</v>
      </c>
      <c r="G39" s="8">
        <v>900</v>
      </c>
      <c r="H39" s="8">
        <v>2500</v>
      </c>
      <c r="I39" s="13">
        <f t="shared" si="1"/>
        <v>53666.590000000004</v>
      </c>
      <c r="J39" s="8">
        <v>500</v>
      </c>
      <c r="K39" s="15">
        <f t="shared" si="2"/>
        <v>53166.590000000004</v>
      </c>
    </row>
    <row r="40" spans="1:11" x14ac:dyDescent="0.3">
      <c r="A40" s="5">
        <v>45</v>
      </c>
      <c r="B40">
        <v>66749</v>
      </c>
      <c r="C40" s="62"/>
      <c r="D40" s="10">
        <f t="shared" si="4"/>
        <v>62076.57</v>
      </c>
      <c r="E40" s="5">
        <v>1000</v>
      </c>
      <c r="F40" s="8">
        <v>3000</v>
      </c>
      <c r="G40" s="8">
        <v>900</v>
      </c>
      <c r="H40" s="8">
        <v>2500</v>
      </c>
      <c r="I40" s="13">
        <f t="shared" si="1"/>
        <v>54676.57</v>
      </c>
      <c r="J40" s="8">
        <v>500</v>
      </c>
      <c r="K40" s="15">
        <f t="shared" si="2"/>
        <v>54176.57</v>
      </c>
    </row>
    <row r="41" spans="1:11" x14ac:dyDescent="0.3">
      <c r="A41" s="5">
        <v>46</v>
      </c>
      <c r="B41">
        <v>67835</v>
      </c>
      <c r="C41" s="62"/>
      <c r="D41" s="10">
        <f t="shared" si="4"/>
        <v>63086.55</v>
      </c>
      <c r="E41" s="5">
        <v>1000</v>
      </c>
      <c r="F41" s="8">
        <v>3000</v>
      </c>
      <c r="G41" s="8">
        <v>900</v>
      </c>
      <c r="H41" s="8">
        <v>2500</v>
      </c>
      <c r="I41" s="13">
        <f t="shared" si="1"/>
        <v>55686.55</v>
      </c>
      <c r="J41" s="8">
        <v>500</v>
      </c>
      <c r="K41" s="15">
        <f t="shared" si="2"/>
        <v>55186.55</v>
      </c>
    </row>
    <row r="42" spans="1:11" x14ac:dyDescent="0.3">
      <c r="A42" s="5">
        <v>47</v>
      </c>
      <c r="B42">
        <v>68927</v>
      </c>
      <c r="C42" s="62"/>
      <c r="D42" s="10">
        <f t="shared" si="4"/>
        <v>64102.11</v>
      </c>
      <c r="E42" s="5">
        <v>1000</v>
      </c>
      <c r="F42" s="8">
        <v>3000</v>
      </c>
      <c r="G42" s="8">
        <v>900</v>
      </c>
      <c r="H42" s="8">
        <v>2500</v>
      </c>
      <c r="I42" s="13">
        <f t="shared" si="1"/>
        <v>56702.11</v>
      </c>
      <c r="J42" s="8">
        <v>500</v>
      </c>
      <c r="K42" s="15">
        <f t="shared" si="2"/>
        <v>56202.11</v>
      </c>
    </row>
    <row r="43" spans="1:11" x14ac:dyDescent="0.3">
      <c r="A43" s="5">
        <v>48</v>
      </c>
      <c r="B43">
        <v>70018</v>
      </c>
      <c r="C43" s="62"/>
      <c r="D43" s="10">
        <f t="shared" si="4"/>
        <v>65116.740000000005</v>
      </c>
      <c r="E43" s="5">
        <v>1000</v>
      </c>
      <c r="F43" s="8">
        <v>3000</v>
      </c>
      <c r="G43" s="8">
        <v>900</v>
      </c>
      <c r="H43" s="8">
        <v>2500</v>
      </c>
      <c r="I43" s="13">
        <f t="shared" si="1"/>
        <v>57716.740000000005</v>
      </c>
      <c r="J43" s="8">
        <v>500</v>
      </c>
      <c r="K43" s="15">
        <f t="shared" si="2"/>
        <v>57216.740000000005</v>
      </c>
    </row>
  </sheetData>
  <mergeCells count="4">
    <mergeCell ref="A1:K1"/>
    <mergeCell ref="C3:C11"/>
    <mergeCell ref="C12:C19"/>
    <mergeCell ref="C20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5D34-C1A0-416C-BAE4-B1AD0A7D7BAD}">
  <sheetPr>
    <pageSetUpPr fitToPage="1"/>
  </sheetPr>
  <dimension ref="A1:U43"/>
  <sheetViews>
    <sheetView zoomScale="85" zoomScaleNormal="85" workbookViewId="0">
      <pane xSplit="1" topLeftCell="B1" activePane="topRight" state="frozen"/>
      <selection pane="topRight" activeCell="M1" sqref="M1:M1048576"/>
    </sheetView>
  </sheetViews>
  <sheetFormatPr defaultRowHeight="14.4" x14ac:dyDescent="0.3"/>
  <cols>
    <col min="1" max="1" width="11" customWidth="1"/>
    <col min="2" max="7" width="9.109375" customWidth="1"/>
    <col min="8" max="9" width="14.109375" customWidth="1"/>
    <col min="10" max="10" width="13.6640625" customWidth="1"/>
    <col min="11" max="11" width="11.5546875" customWidth="1"/>
    <col min="12" max="15" width="15" customWidth="1"/>
    <col min="16" max="16" width="12.6640625" style="21" customWidth="1"/>
    <col min="17" max="17" width="15.44140625" customWidth="1"/>
    <col min="18" max="20" width="14.33203125" customWidth="1"/>
    <col min="21" max="21" width="17.44140625" customWidth="1"/>
  </cols>
  <sheetData>
    <row r="1" spans="1:21" ht="25.8" x14ac:dyDescent="0.5">
      <c r="A1" s="60" t="s">
        <v>13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22"/>
      <c r="N1" s="22"/>
      <c r="O1" s="22"/>
    </row>
    <row r="2" spans="1:21" s="25" customFormat="1" ht="72" x14ac:dyDescent="0.3">
      <c r="A2" s="17" t="s">
        <v>11</v>
      </c>
      <c r="B2" s="17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2" t="s">
        <v>7</v>
      </c>
      <c r="I2" s="2" t="s">
        <v>12</v>
      </c>
      <c r="J2" s="23" t="s">
        <v>8</v>
      </c>
      <c r="K2" s="1" t="s">
        <v>9</v>
      </c>
      <c r="L2" s="24" t="s">
        <v>10</v>
      </c>
      <c r="M2" s="17" t="s">
        <v>18</v>
      </c>
      <c r="N2" s="17" t="s">
        <v>20</v>
      </c>
      <c r="O2" s="17"/>
      <c r="P2" s="17" t="s">
        <v>14</v>
      </c>
      <c r="Q2" s="17" t="s">
        <v>16</v>
      </c>
      <c r="R2" s="17" t="s">
        <v>15</v>
      </c>
      <c r="S2" s="17" t="s">
        <v>18</v>
      </c>
      <c r="T2" s="17" t="s">
        <v>19</v>
      </c>
      <c r="U2" s="17" t="s">
        <v>17</v>
      </c>
    </row>
    <row r="3" spans="1:21" x14ac:dyDescent="0.3">
      <c r="A3" s="5">
        <v>8</v>
      </c>
      <c r="B3" s="8">
        <v>18940</v>
      </c>
      <c r="C3" s="63">
        <v>0.05</v>
      </c>
      <c r="D3" s="10">
        <f>B3*0.95</f>
        <v>17993</v>
      </c>
      <c r="E3" s="5">
        <v>600</v>
      </c>
      <c r="F3" s="8">
        <v>1500</v>
      </c>
      <c r="G3" s="8">
        <v>500</v>
      </c>
      <c r="H3" s="8"/>
      <c r="I3" s="8">
        <v>600</v>
      </c>
      <c r="J3" s="18">
        <f>D3-E3-F3-G3-H3-I3</f>
        <v>14793</v>
      </c>
      <c r="K3" s="8">
        <v>200</v>
      </c>
      <c r="L3" s="19">
        <f>J3-K3</f>
        <v>14593</v>
      </c>
      <c r="M3" s="20">
        <v>7291</v>
      </c>
      <c r="N3" s="20">
        <f>L3-M3</f>
        <v>7302</v>
      </c>
      <c r="O3" s="20"/>
      <c r="P3" s="63">
        <v>0.05</v>
      </c>
      <c r="Q3" s="20">
        <f>L3*5%</f>
        <v>729.65000000000009</v>
      </c>
      <c r="R3" s="20">
        <f>L3-Q3</f>
        <v>13863.35</v>
      </c>
      <c r="S3" s="20">
        <v>7291</v>
      </c>
      <c r="T3" s="20">
        <f>R3-S3</f>
        <v>6572.35</v>
      </c>
      <c r="U3" s="61">
        <v>0.15</v>
      </c>
    </row>
    <row r="4" spans="1:21" x14ac:dyDescent="0.3">
      <c r="A4" s="5">
        <v>9</v>
      </c>
      <c r="B4" s="8">
        <v>20029</v>
      </c>
      <c r="C4" s="64"/>
      <c r="D4" s="10">
        <f t="shared" ref="D4:D10" si="0">B4*0.95</f>
        <v>19027.55</v>
      </c>
      <c r="E4" s="5">
        <v>600</v>
      </c>
      <c r="F4" s="8">
        <v>1500</v>
      </c>
      <c r="G4" s="8">
        <v>500</v>
      </c>
      <c r="H4" s="8"/>
      <c r="I4" s="8">
        <v>600</v>
      </c>
      <c r="J4" s="18">
        <f t="shared" ref="J4:J43" si="1">D4-E4-F4-G4-H4-I4</f>
        <v>15827.55</v>
      </c>
      <c r="K4" s="8">
        <v>200</v>
      </c>
      <c r="L4" s="19">
        <f t="shared" ref="L4:L43" si="2">J4-K4</f>
        <v>15627.55</v>
      </c>
      <c r="M4" s="20">
        <v>7756</v>
      </c>
      <c r="N4" s="20">
        <f t="shared" ref="N4:N43" si="3">L4-M4</f>
        <v>7871.5499999999993</v>
      </c>
      <c r="O4" s="20"/>
      <c r="P4" s="64"/>
      <c r="Q4" s="20">
        <f t="shared" ref="Q4:Q10" si="4">L4*5%</f>
        <v>781.37750000000005</v>
      </c>
      <c r="R4" s="20">
        <f t="shared" ref="R4:R43" si="5">L4-Q4</f>
        <v>14846.172499999999</v>
      </c>
      <c r="S4" s="20">
        <v>7756</v>
      </c>
      <c r="T4" s="20">
        <f t="shared" ref="T4:T43" si="6">R4-S4</f>
        <v>7090.1724999999988</v>
      </c>
      <c r="U4" s="62"/>
    </row>
    <row r="5" spans="1:21" x14ac:dyDescent="0.3">
      <c r="A5" s="5">
        <v>10</v>
      </c>
      <c r="B5" s="8">
        <v>21119</v>
      </c>
      <c r="C5" s="64"/>
      <c r="D5" s="10">
        <f t="shared" si="0"/>
        <v>20063.05</v>
      </c>
      <c r="E5" s="5">
        <v>600</v>
      </c>
      <c r="F5" s="8">
        <v>1500</v>
      </c>
      <c r="G5" s="8">
        <v>500</v>
      </c>
      <c r="H5" s="8"/>
      <c r="I5" s="8">
        <v>600</v>
      </c>
      <c r="J5" s="18">
        <f t="shared" si="1"/>
        <v>16863.05</v>
      </c>
      <c r="K5" s="8">
        <v>200</v>
      </c>
      <c r="L5" s="19">
        <f t="shared" si="2"/>
        <v>16663.05</v>
      </c>
      <c r="M5" s="20">
        <v>8282</v>
      </c>
      <c r="N5" s="20">
        <f t="shared" si="3"/>
        <v>8381.0499999999993</v>
      </c>
      <c r="O5" s="20"/>
      <c r="P5" s="64"/>
      <c r="Q5" s="20">
        <f t="shared" si="4"/>
        <v>833.15250000000003</v>
      </c>
      <c r="R5" s="20">
        <f t="shared" si="5"/>
        <v>15829.897499999999</v>
      </c>
      <c r="S5" s="20">
        <v>8282</v>
      </c>
      <c r="T5" s="20">
        <f t="shared" si="6"/>
        <v>7547.8974999999991</v>
      </c>
      <c r="U5" s="62"/>
    </row>
    <row r="6" spans="1:21" x14ac:dyDescent="0.3">
      <c r="A6" s="5">
        <v>11</v>
      </c>
      <c r="B6" s="8">
        <v>23883</v>
      </c>
      <c r="C6" s="64"/>
      <c r="D6" s="10">
        <f t="shared" si="0"/>
        <v>22688.85</v>
      </c>
      <c r="E6" s="5">
        <v>600</v>
      </c>
      <c r="F6" s="8">
        <v>1500</v>
      </c>
      <c r="G6" s="8">
        <v>500</v>
      </c>
      <c r="H6" s="8">
        <v>1000</v>
      </c>
      <c r="I6" s="8">
        <v>600</v>
      </c>
      <c r="J6" s="18">
        <f t="shared" si="1"/>
        <v>18488.849999999999</v>
      </c>
      <c r="K6" s="8">
        <v>200</v>
      </c>
      <c r="L6" s="19">
        <f t="shared" si="2"/>
        <v>18288.849999999999</v>
      </c>
      <c r="M6" s="20">
        <v>8747</v>
      </c>
      <c r="N6" s="20">
        <f t="shared" si="3"/>
        <v>9541.8499999999985</v>
      </c>
      <c r="O6" s="20"/>
      <c r="P6" s="64"/>
      <c r="Q6" s="20">
        <f t="shared" si="4"/>
        <v>914.4425</v>
      </c>
      <c r="R6" s="20">
        <f t="shared" si="5"/>
        <v>17374.407499999998</v>
      </c>
      <c r="S6" s="20">
        <v>8747</v>
      </c>
      <c r="T6" s="20">
        <f t="shared" si="6"/>
        <v>8627.4074999999975</v>
      </c>
      <c r="U6" s="62"/>
    </row>
    <row r="7" spans="1:21" x14ac:dyDescent="0.3">
      <c r="A7" s="6">
        <v>12</v>
      </c>
      <c r="B7" s="9">
        <v>24985</v>
      </c>
      <c r="C7" s="64"/>
      <c r="D7" s="12">
        <f t="shared" si="0"/>
        <v>23735.75</v>
      </c>
      <c r="E7" s="6">
        <v>600</v>
      </c>
      <c r="F7" s="9">
        <v>1500</v>
      </c>
      <c r="G7" s="9">
        <v>500</v>
      </c>
      <c r="H7" s="9">
        <v>1000</v>
      </c>
      <c r="I7" s="9">
        <v>600</v>
      </c>
      <c r="J7" s="18">
        <f t="shared" si="1"/>
        <v>19535.75</v>
      </c>
      <c r="K7" s="9">
        <v>200</v>
      </c>
      <c r="L7" s="19">
        <f t="shared" si="2"/>
        <v>19335.75</v>
      </c>
      <c r="M7" s="20">
        <v>9268</v>
      </c>
      <c r="N7" s="20">
        <f t="shared" si="3"/>
        <v>10067.75</v>
      </c>
      <c r="O7" s="20"/>
      <c r="P7" s="64"/>
      <c r="Q7" s="20">
        <f t="shared" si="4"/>
        <v>966.78750000000002</v>
      </c>
      <c r="R7" s="20">
        <f t="shared" si="5"/>
        <v>18368.962500000001</v>
      </c>
      <c r="S7" s="20">
        <v>9268</v>
      </c>
      <c r="T7" s="20">
        <f t="shared" si="6"/>
        <v>9100.9625000000015</v>
      </c>
      <c r="U7" s="62"/>
    </row>
    <row r="8" spans="1:21" x14ac:dyDescent="0.3">
      <c r="A8" s="5">
        <v>13</v>
      </c>
      <c r="B8" s="8">
        <v>26182</v>
      </c>
      <c r="C8" s="64"/>
      <c r="D8" s="10">
        <f t="shared" si="0"/>
        <v>24872.899999999998</v>
      </c>
      <c r="E8" s="5">
        <v>600</v>
      </c>
      <c r="F8" s="8">
        <v>1500</v>
      </c>
      <c r="G8" s="8">
        <v>500</v>
      </c>
      <c r="H8" s="8">
        <v>1000</v>
      </c>
      <c r="I8" s="8">
        <v>600</v>
      </c>
      <c r="J8" s="18">
        <f t="shared" si="1"/>
        <v>20672.899999999998</v>
      </c>
      <c r="K8" s="8">
        <v>200</v>
      </c>
      <c r="L8" s="19">
        <f t="shared" si="2"/>
        <v>20472.899999999998</v>
      </c>
      <c r="M8" s="20">
        <v>9733</v>
      </c>
      <c r="N8" s="20">
        <f t="shared" si="3"/>
        <v>10739.899999999998</v>
      </c>
      <c r="O8" s="20"/>
      <c r="P8" s="64"/>
      <c r="Q8" s="20">
        <f t="shared" si="4"/>
        <v>1023.645</v>
      </c>
      <c r="R8" s="20">
        <f t="shared" si="5"/>
        <v>19449.254999999997</v>
      </c>
      <c r="S8" s="20">
        <v>9733</v>
      </c>
      <c r="T8" s="20">
        <f t="shared" si="6"/>
        <v>9716.2549999999974</v>
      </c>
      <c r="U8" s="62"/>
    </row>
    <row r="9" spans="1:21" x14ac:dyDescent="0.3">
      <c r="A9" s="5">
        <v>14</v>
      </c>
      <c r="B9" s="8">
        <v>27930</v>
      </c>
      <c r="C9" s="64"/>
      <c r="D9" s="10">
        <f t="shared" si="0"/>
        <v>26533.5</v>
      </c>
      <c r="E9" s="5">
        <v>600</v>
      </c>
      <c r="F9" s="8">
        <v>1500</v>
      </c>
      <c r="G9" s="8">
        <v>500</v>
      </c>
      <c r="H9" s="8">
        <v>1000</v>
      </c>
      <c r="I9" s="8">
        <v>600</v>
      </c>
      <c r="J9" s="18">
        <f t="shared" si="1"/>
        <v>22333.5</v>
      </c>
      <c r="K9" s="8">
        <v>200</v>
      </c>
      <c r="L9" s="19">
        <f t="shared" si="2"/>
        <v>22133.5</v>
      </c>
      <c r="M9" s="20">
        <v>10326</v>
      </c>
      <c r="N9" s="20">
        <f t="shared" si="3"/>
        <v>11807.5</v>
      </c>
      <c r="O9" s="20"/>
      <c r="P9" s="64"/>
      <c r="Q9" s="20">
        <f t="shared" si="4"/>
        <v>1106.675</v>
      </c>
      <c r="R9" s="20">
        <f t="shared" si="5"/>
        <v>21026.825000000001</v>
      </c>
      <c r="S9" s="20">
        <v>10326</v>
      </c>
      <c r="T9" s="20">
        <f t="shared" si="6"/>
        <v>10700.825000000001</v>
      </c>
      <c r="U9" s="62"/>
    </row>
    <row r="10" spans="1:21" x14ac:dyDescent="0.3">
      <c r="A10" s="5">
        <v>15</v>
      </c>
      <c r="B10" s="8">
        <v>29908</v>
      </c>
      <c r="C10" s="65"/>
      <c r="D10" s="10">
        <f t="shared" si="0"/>
        <v>28412.6</v>
      </c>
      <c r="E10" s="5">
        <v>600</v>
      </c>
      <c r="F10" s="8">
        <v>1500</v>
      </c>
      <c r="G10" s="8">
        <v>500</v>
      </c>
      <c r="H10" s="8">
        <v>1000</v>
      </c>
      <c r="I10" s="8">
        <v>600</v>
      </c>
      <c r="J10" s="18">
        <f>D10-E10-F10-G10-H10-I10</f>
        <v>24212.6</v>
      </c>
      <c r="K10" s="8">
        <v>200</v>
      </c>
      <c r="L10" s="19">
        <f t="shared" si="2"/>
        <v>24012.6</v>
      </c>
      <c r="M10" s="20">
        <v>10791</v>
      </c>
      <c r="N10" s="20">
        <f t="shared" si="3"/>
        <v>13221.599999999999</v>
      </c>
      <c r="O10" s="20"/>
      <c r="P10" s="65"/>
      <c r="Q10" s="20">
        <f t="shared" si="4"/>
        <v>1200.6299999999999</v>
      </c>
      <c r="R10" s="20">
        <f t="shared" si="5"/>
        <v>22811.969999999998</v>
      </c>
      <c r="S10" s="20">
        <v>10791</v>
      </c>
      <c r="T10" s="20">
        <f t="shared" si="6"/>
        <v>12020.969999999998</v>
      </c>
      <c r="U10" s="62"/>
    </row>
    <row r="11" spans="1:21" x14ac:dyDescent="0.3">
      <c r="A11" s="5">
        <v>16</v>
      </c>
      <c r="B11" s="8">
        <v>30794</v>
      </c>
      <c r="C11" s="63">
        <v>0.06</v>
      </c>
      <c r="D11" s="10">
        <f>B11*0.94</f>
        <v>28946.359999999997</v>
      </c>
      <c r="E11" s="5">
        <v>600</v>
      </c>
      <c r="F11" s="8">
        <v>1500</v>
      </c>
      <c r="G11" s="8">
        <v>500</v>
      </c>
      <c r="H11" s="8">
        <v>1000</v>
      </c>
      <c r="I11" s="8">
        <v>600</v>
      </c>
      <c r="J11" s="18">
        <f t="shared" si="1"/>
        <v>24746.359999999997</v>
      </c>
      <c r="K11" s="8">
        <v>200</v>
      </c>
      <c r="L11" s="19">
        <f t="shared" si="2"/>
        <v>24546.359999999997</v>
      </c>
      <c r="M11" s="20">
        <v>11256</v>
      </c>
      <c r="N11" s="20">
        <f t="shared" si="3"/>
        <v>13290.359999999997</v>
      </c>
      <c r="O11" s="20"/>
      <c r="P11" s="61">
        <v>0.06</v>
      </c>
      <c r="Q11" s="20">
        <f>L11*6%</f>
        <v>1472.7815999999998</v>
      </c>
      <c r="R11" s="20">
        <f t="shared" si="5"/>
        <v>23073.578399999999</v>
      </c>
      <c r="S11" s="20">
        <v>11256</v>
      </c>
      <c r="T11" s="20">
        <f t="shared" si="6"/>
        <v>11817.578399999999</v>
      </c>
      <c r="U11" s="61">
        <v>0.1</v>
      </c>
    </row>
    <row r="12" spans="1:21" x14ac:dyDescent="0.3">
      <c r="A12" s="5">
        <v>17</v>
      </c>
      <c r="B12" s="8">
        <v>31890</v>
      </c>
      <c r="C12" s="64"/>
      <c r="D12" s="10">
        <f>B12*0.94</f>
        <v>29976.6</v>
      </c>
      <c r="E12" s="5">
        <v>1000</v>
      </c>
      <c r="F12" s="8">
        <v>1500</v>
      </c>
      <c r="G12" s="8">
        <v>500</v>
      </c>
      <c r="H12" s="8">
        <v>1000</v>
      </c>
      <c r="I12" s="8">
        <v>600</v>
      </c>
      <c r="J12" s="18">
        <f t="shared" si="1"/>
        <v>25376.6</v>
      </c>
      <c r="K12" s="8">
        <v>300</v>
      </c>
      <c r="L12" s="19">
        <f t="shared" si="2"/>
        <v>25076.6</v>
      </c>
      <c r="M12" s="20">
        <v>12236</v>
      </c>
      <c r="N12" s="20">
        <f t="shared" si="3"/>
        <v>12840.599999999999</v>
      </c>
      <c r="O12" s="20"/>
      <c r="P12" s="62"/>
      <c r="Q12" s="20">
        <f t="shared" ref="Q12:Q17" si="7">L12*6%</f>
        <v>1504.5959999999998</v>
      </c>
      <c r="R12" s="20">
        <f t="shared" si="5"/>
        <v>23572.003999999997</v>
      </c>
      <c r="S12" s="20">
        <v>12236</v>
      </c>
      <c r="T12" s="20">
        <f t="shared" si="6"/>
        <v>11336.003999999997</v>
      </c>
      <c r="U12" s="62"/>
    </row>
    <row r="13" spans="1:21" x14ac:dyDescent="0.3">
      <c r="A13" s="5">
        <v>18</v>
      </c>
      <c r="B13" s="8">
        <v>33221</v>
      </c>
      <c r="C13" s="64"/>
      <c r="D13" s="10">
        <f t="shared" ref="D13:D17" si="8">B13*0.94</f>
        <v>31227.739999999998</v>
      </c>
      <c r="E13" s="5">
        <v>1000</v>
      </c>
      <c r="F13" s="8">
        <v>1500</v>
      </c>
      <c r="G13" s="8">
        <v>500</v>
      </c>
      <c r="H13" s="8">
        <v>1000</v>
      </c>
      <c r="I13" s="8">
        <v>1200</v>
      </c>
      <c r="J13" s="18">
        <f t="shared" si="1"/>
        <v>26027.739999999998</v>
      </c>
      <c r="K13" s="8">
        <v>300</v>
      </c>
      <c r="L13" s="19">
        <f t="shared" si="2"/>
        <v>25727.739999999998</v>
      </c>
      <c r="M13" s="20">
        <v>12701</v>
      </c>
      <c r="N13" s="20">
        <f t="shared" si="3"/>
        <v>13026.739999999998</v>
      </c>
      <c r="O13" s="20"/>
      <c r="P13" s="62"/>
      <c r="Q13" s="20">
        <f t="shared" si="7"/>
        <v>1543.6643999999999</v>
      </c>
      <c r="R13" s="20">
        <f t="shared" si="5"/>
        <v>24184.075599999996</v>
      </c>
      <c r="S13" s="20">
        <v>12701</v>
      </c>
      <c r="T13" s="20">
        <f t="shared" si="6"/>
        <v>11483.075599999996</v>
      </c>
      <c r="U13" s="62"/>
    </row>
    <row r="14" spans="1:21" x14ac:dyDescent="0.3">
      <c r="A14" s="6">
        <v>19</v>
      </c>
      <c r="B14" s="9">
        <v>35977</v>
      </c>
      <c r="C14" s="64"/>
      <c r="D14" s="12">
        <f t="shared" si="8"/>
        <v>33818.379999999997</v>
      </c>
      <c r="E14" s="6">
        <v>1000</v>
      </c>
      <c r="F14" s="9">
        <v>3000</v>
      </c>
      <c r="G14" s="9">
        <v>900</v>
      </c>
      <c r="H14" s="9">
        <v>1500</v>
      </c>
      <c r="I14" s="9">
        <v>1200</v>
      </c>
      <c r="J14" s="18">
        <f t="shared" si="1"/>
        <v>26218.379999999997</v>
      </c>
      <c r="K14" s="9">
        <v>300</v>
      </c>
      <c r="L14" s="19">
        <f t="shared" si="2"/>
        <v>25918.379999999997</v>
      </c>
      <c r="M14" s="20">
        <v>13233</v>
      </c>
      <c r="N14" s="20">
        <f t="shared" si="3"/>
        <v>12685.379999999997</v>
      </c>
      <c r="O14" s="20"/>
      <c r="P14" s="62"/>
      <c r="Q14" s="20">
        <f t="shared" si="7"/>
        <v>1555.1027999999999</v>
      </c>
      <c r="R14" s="20">
        <f t="shared" si="5"/>
        <v>24363.277199999997</v>
      </c>
      <c r="S14" s="20">
        <v>13233</v>
      </c>
      <c r="T14" s="20">
        <f t="shared" si="6"/>
        <v>11130.277199999997</v>
      </c>
      <c r="U14" s="62"/>
    </row>
    <row r="15" spans="1:21" x14ac:dyDescent="0.3">
      <c r="A15" s="5">
        <v>20</v>
      </c>
      <c r="B15" s="8">
        <v>37414</v>
      </c>
      <c r="C15" s="64"/>
      <c r="D15" s="10">
        <f t="shared" si="8"/>
        <v>35169.159999999996</v>
      </c>
      <c r="E15" s="5">
        <v>1000</v>
      </c>
      <c r="F15" s="8">
        <v>3000</v>
      </c>
      <c r="G15" s="8">
        <v>900</v>
      </c>
      <c r="H15" s="8">
        <v>1500</v>
      </c>
      <c r="I15" s="8">
        <v>1200</v>
      </c>
      <c r="J15" s="18">
        <f t="shared" si="1"/>
        <v>27569.159999999996</v>
      </c>
      <c r="K15" s="8">
        <v>300</v>
      </c>
      <c r="L15" s="19">
        <f t="shared" si="2"/>
        <v>27269.159999999996</v>
      </c>
      <c r="M15" s="20">
        <v>13698</v>
      </c>
      <c r="N15" s="20">
        <f t="shared" si="3"/>
        <v>13571.159999999996</v>
      </c>
      <c r="O15" s="20"/>
      <c r="P15" s="62"/>
      <c r="Q15" s="20">
        <f t="shared" si="7"/>
        <v>1636.1495999999997</v>
      </c>
      <c r="R15" s="20">
        <f t="shared" si="5"/>
        <v>25633.010399999996</v>
      </c>
      <c r="S15" s="20">
        <v>13698</v>
      </c>
      <c r="T15" s="20">
        <f t="shared" si="6"/>
        <v>11935.010399999996</v>
      </c>
      <c r="U15" s="62"/>
    </row>
    <row r="16" spans="1:21" x14ac:dyDescent="0.3">
      <c r="A16" s="5">
        <v>21</v>
      </c>
      <c r="B16" s="8">
        <v>38591</v>
      </c>
      <c r="C16" s="64"/>
      <c r="D16" s="10">
        <f t="shared" si="8"/>
        <v>36275.54</v>
      </c>
      <c r="E16" s="5">
        <v>1000</v>
      </c>
      <c r="F16" s="8">
        <v>3000</v>
      </c>
      <c r="G16" s="8">
        <v>900</v>
      </c>
      <c r="H16" s="8">
        <v>1500</v>
      </c>
      <c r="I16" s="8">
        <v>1200</v>
      </c>
      <c r="J16" s="18">
        <f t="shared" si="1"/>
        <v>28675.54</v>
      </c>
      <c r="K16" s="8">
        <v>300</v>
      </c>
      <c r="L16" s="19">
        <f t="shared" si="2"/>
        <v>28375.54</v>
      </c>
      <c r="M16" s="20">
        <v>14163</v>
      </c>
      <c r="N16" s="20">
        <f t="shared" si="3"/>
        <v>14212.54</v>
      </c>
      <c r="O16" s="20"/>
      <c r="P16" s="62"/>
      <c r="Q16" s="20">
        <f t="shared" si="7"/>
        <v>1702.5324000000001</v>
      </c>
      <c r="R16" s="20">
        <f t="shared" si="5"/>
        <v>26673.007600000001</v>
      </c>
      <c r="S16" s="20">
        <v>14163</v>
      </c>
      <c r="T16" s="20">
        <f t="shared" si="6"/>
        <v>12510.007600000001</v>
      </c>
      <c r="U16" s="62"/>
    </row>
    <row r="17" spans="1:21" x14ac:dyDescent="0.3">
      <c r="A17" s="5">
        <v>22</v>
      </c>
      <c r="B17" s="8">
        <v>39784</v>
      </c>
      <c r="C17" s="65"/>
      <c r="D17" s="10">
        <f t="shared" si="8"/>
        <v>37396.959999999999</v>
      </c>
      <c r="E17" s="5">
        <v>1000</v>
      </c>
      <c r="F17" s="8">
        <v>3000</v>
      </c>
      <c r="G17" s="8">
        <v>900</v>
      </c>
      <c r="H17" s="8">
        <v>1500</v>
      </c>
      <c r="I17" s="8">
        <v>1200</v>
      </c>
      <c r="J17" s="18">
        <f t="shared" si="1"/>
        <v>29796.959999999999</v>
      </c>
      <c r="K17" s="8">
        <v>300</v>
      </c>
      <c r="L17" s="19">
        <f t="shared" si="2"/>
        <v>29496.959999999999</v>
      </c>
      <c r="M17" s="20">
        <v>14628</v>
      </c>
      <c r="N17" s="20">
        <f t="shared" si="3"/>
        <v>14868.96</v>
      </c>
      <c r="O17" s="20"/>
      <c r="P17" s="62"/>
      <c r="Q17" s="20">
        <f t="shared" si="7"/>
        <v>1769.8175999999999</v>
      </c>
      <c r="R17" s="20">
        <f t="shared" si="5"/>
        <v>27727.142400000001</v>
      </c>
      <c r="S17" s="20">
        <v>14628</v>
      </c>
      <c r="T17" s="20">
        <f t="shared" si="6"/>
        <v>13099.142400000001</v>
      </c>
      <c r="U17" s="62"/>
    </row>
    <row r="18" spans="1:21" x14ac:dyDescent="0.3">
      <c r="A18" s="7">
        <v>23</v>
      </c>
      <c r="B18" s="8">
        <v>40869</v>
      </c>
      <c r="C18" s="63">
        <v>7.0000000000000007E-2</v>
      </c>
      <c r="D18" s="10">
        <f>B18*0.93</f>
        <v>38008.170000000006</v>
      </c>
      <c r="E18" s="5">
        <v>1000</v>
      </c>
      <c r="F18" s="8">
        <v>3000</v>
      </c>
      <c r="G18" s="8">
        <v>900</v>
      </c>
      <c r="H18" s="8">
        <v>1500</v>
      </c>
      <c r="I18" s="8">
        <v>1200</v>
      </c>
      <c r="J18" s="18">
        <f t="shared" si="1"/>
        <v>30408.170000000006</v>
      </c>
      <c r="K18" s="8">
        <v>300</v>
      </c>
      <c r="L18" s="19">
        <f t="shared" si="2"/>
        <v>30108.170000000006</v>
      </c>
      <c r="M18" s="20">
        <v>15154</v>
      </c>
      <c r="N18" s="20">
        <f t="shared" si="3"/>
        <v>14954.170000000006</v>
      </c>
      <c r="O18" s="20"/>
      <c r="P18" s="61">
        <v>7.0000000000000007E-2</v>
      </c>
      <c r="Q18" s="20">
        <f>L18*7%</f>
        <v>2107.5719000000004</v>
      </c>
      <c r="R18" s="20">
        <f t="shared" si="5"/>
        <v>28000.598100000007</v>
      </c>
      <c r="S18" s="20">
        <v>15154</v>
      </c>
      <c r="T18" s="20">
        <f t="shared" si="6"/>
        <v>12846.598100000007</v>
      </c>
      <c r="U18" s="61">
        <v>7.0000000000000007E-2</v>
      </c>
    </row>
    <row r="19" spans="1:21" x14ac:dyDescent="0.3">
      <c r="A19" s="5">
        <v>24</v>
      </c>
      <c r="B19" s="8">
        <v>41961</v>
      </c>
      <c r="C19" s="64"/>
      <c r="D19" s="10">
        <f t="shared" ref="D19:D21" si="9">B19*0.93</f>
        <v>39023.730000000003</v>
      </c>
      <c r="E19" s="5">
        <v>1000</v>
      </c>
      <c r="F19" s="8">
        <v>3000</v>
      </c>
      <c r="G19" s="8">
        <v>900</v>
      </c>
      <c r="H19" s="8">
        <v>1500</v>
      </c>
      <c r="I19" s="8">
        <v>1200</v>
      </c>
      <c r="J19" s="18">
        <f t="shared" si="1"/>
        <v>31423.730000000003</v>
      </c>
      <c r="K19" s="8">
        <v>400</v>
      </c>
      <c r="L19" s="19">
        <f t="shared" si="2"/>
        <v>31023.730000000003</v>
      </c>
      <c r="M19" s="20">
        <v>15619</v>
      </c>
      <c r="N19" s="20">
        <f t="shared" si="3"/>
        <v>15404.730000000003</v>
      </c>
      <c r="O19" s="20"/>
      <c r="P19" s="62"/>
      <c r="Q19" s="20">
        <f t="shared" ref="Q19:Q43" si="10">L19*7%</f>
        <v>2171.6611000000003</v>
      </c>
      <c r="R19" s="20">
        <f t="shared" si="5"/>
        <v>28852.068900000002</v>
      </c>
      <c r="S19" s="20">
        <v>15619</v>
      </c>
      <c r="T19" s="20">
        <f t="shared" si="6"/>
        <v>13233.068900000002</v>
      </c>
      <c r="U19" s="62"/>
    </row>
    <row r="20" spans="1:21" x14ac:dyDescent="0.3">
      <c r="A20" s="6">
        <v>25</v>
      </c>
      <c r="B20" s="9">
        <v>43025</v>
      </c>
      <c r="C20" s="64"/>
      <c r="D20" s="12">
        <f t="shared" si="9"/>
        <v>40013.25</v>
      </c>
      <c r="E20" s="6">
        <v>1000</v>
      </c>
      <c r="F20" s="9">
        <v>3000</v>
      </c>
      <c r="G20" s="9">
        <v>900</v>
      </c>
      <c r="H20" s="9">
        <v>1500</v>
      </c>
      <c r="I20" s="9">
        <v>1500</v>
      </c>
      <c r="J20" s="18">
        <f t="shared" si="1"/>
        <v>32113.25</v>
      </c>
      <c r="K20" s="9">
        <v>400</v>
      </c>
      <c r="L20" s="19">
        <f t="shared" si="2"/>
        <v>31713.25</v>
      </c>
      <c r="M20" s="20">
        <v>16084</v>
      </c>
      <c r="N20" s="20">
        <f t="shared" si="3"/>
        <v>15629.25</v>
      </c>
      <c r="O20" s="20"/>
      <c r="P20" s="62"/>
      <c r="Q20" s="20">
        <f t="shared" si="10"/>
        <v>2219.9275000000002</v>
      </c>
      <c r="R20" s="20">
        <f t="shared" si="5"/>
        <v>29493.322499999998</v>
      </c>
      <c r="S20" s="20">
        <v>16084</v>
      </c>
      <c r="T20" s="20">
        <f t="shared" si="6"/>
        <v>13409.322499999998</v>
      </c>
      <c r="U20" s="62"/>
    </row>
    <row r="21" spans="1:21" x14ac:dyDescent="0.3">
      <c r="A21" s="5">
        <v>26</v>
      </c>
      <c r="B21" s="8">
        <v>44288</v>
      </c>
      <c r="C21" s="64"/>
      <c r="D21" s="10">
        <f t="shared" si="9"/>
        <v>41187.840000000004</v>
      </c>
      <c r="E21" s="5">
        <v>1000</v>
      </c>
      <c r="F21" s="8">
        <v>3000</v>
      </c>
      <c r="G21" s="8">
        <v>900</v>
      </c>
      <c r="H21" s="8">
        <v>2000</v>
      </c>
      <c r="I21" s="8">
        <v>1500</v>
      </c>
      <c r="J21" s="18">
        <f t="shared" si="1"/>
        <v>32787.840000000004</v>
      </c>
      <c r="K21" s="8">
        <v>400</v>
      </c>
      <c r="L21" s="19">
        <f t="shared" si="2"/>
        <v>32387.840000000004</v>
      </c>
      <c r="M21" s="20">
        <v>16549</v>
      </c>
      <c r="N21" s="20">
        <f t="shared" si="3"/>
        <v>15838.840000000004</v>
      </c>
      <c r="O21" s="20"/>
      <c r="P21" s="62"/>
      <c r="Q21" s="20">
        <f t="shared" si="10"/>
        <v>2267.1488000000004</v>
      </c>
      <c r="R21" s="20">
        <f t="shared" si="5"/>
        <v>30120.691200000005</v>
      </c>
      <c r="S21" s="20">
        <v>16549</v>
      </c>
      <c r="T21" s="20">
        <f t="shared" si="6"/>
        <v>13571.691200000005</v>
      </c>
      <c r="U21" s="62"/>
    </row>
    <row r="22" spans="1:21" x14ac:dyDescent="0.3">
      <c r="A22" s="5">
        <v>27</v>
      </c>
      <c r="B22" s="8">
        <v>45362</v>
      </c>
      <c r="C22" s="64"/>
      <c r="D22" s="10">
        <f t="shared" ref="D22:D43" si="11">B22*0.93</f>
        <v>42186.66</v>
      </c>
      <c r="E22" s="5">
        <v>1000</v>
      </c>
      <c r="F22" s="8">
        <v>3000</v>
      </c>
      <c r="G22" s="8">
        <v>900</v>
      </c>
      <c r="H22" s="8">
        <v>2000</v>
      </c>
      <c r="I22" s="8">
        <v>1500</v>
      </c>
      <c r="J22" s="18">
        <f t="shared" si="1"/>
        <v>33786.660000000003</v>
      </c>
      <c r="K22" s="8">
        <v>400</v>
      </c>
      <c r="L22" s="19">
        <f t="shared" si="2"/>
        <v>33386.660000000003</v>
      </c>
      <c r="M22" s="20">
        <v>17014</v>
      </c>
      <c r="N22" s="20">
        <f t="shared" si="3"/>
        <v>16372.660000000003</v>
      </c>
      <c r="O22" s="20"/>
      <c r="P22" s="62"/>
      <c r="Q22" s="20">
        <f t="shared" si="10"/>
        <v>2337.0662000000007</v>
      </c>
      <c r="R22" s="20">
        <f t="shared" si="5"/>
        <v>31049.593800000002</v>
      </c>
      <c r="S22" s="20">
        <v>17014</v>
      </c>
      <c r="T22" s="20">
        <f t="shared" si="6"/>
        <v>14035.593800000002</v>
      </c>
      <c r="U22" s="62"/>
    </row>
    <row r="23" spans="1:21" x14ac:dyDescent="0.3">
      <c r="A23" s="5">
        <v>28</v>
      </c>
      <c r="B23" s="8">
        <v>46437</v>
      </c>
      <c r="C23" s="64"/>
      <c r="D23" s="10">
        <f t="shared" si="11"/>
        <v>43186.41</v>
      </c>
      <c r="E23" s="5">
        <v>1000</v>
      </c>
      <c r="F23" s="8">
        <v>3000</v>
      </c>
      <c r="G23" s="8">
        <v>900</v>
      </c>
      <c r="H23" s="8">
        <v>2000</v>
      </c>
      <c r="I23" s="8">
        <v>1500</v>
      </c>
      <c r="J23" s="18">
        <f t="shared" si="1"/>
        <v>34786.410000000003</v>
      </c>
      <c r="K23" s="8">
        <v>400</v>
      </c>
      <c r="L23" s="19">
        <f t="shared" si="2"/>
        <v>34386.410000000003</v>
      </c>
      <c r="M23" s="20">
        <v>17662</v>
      </c>
      <c r="N23" s="20">
        <f t="shared" si="3"/>
        <v>16724.410000000003</v>
      </c>
      <c r="O23" s="20"/>
      <c r="P23" s="62"/>
      <c r="Q23" s="20">
        <f t="shared" si="10"/>
        <v>2407.0487000000003</v>
      </c>
      <c r="R23" s="20">
        <f t="shared" si="5"/>
        <v>31979.361300000004</v>
      </c>
      <c r="S23" s="20">
        <v>17662</v>
      </c>
      <c r="T23" s="20">
        <f t="shared" si="6"/>
        <v>14317.361300000004</v>
      </c>
      <c r="U23" s="62"/>
    </row>
    <row r="24" spans="1:21" x14ac:dyDescent="0.3">
      <c r="A24" s="5">
        <v>29</v>
      </c>
      <c r="B24" s="8">
        <v>47556</v>
      </c>
      <c r="C24" s="64"/>
      <c r="D24" s="10">
        <f t="shared" si="11"/>
        <v>44227.08</v>
      </c>
      <c r="E24" s="5">
        <v>1000</v>
      </c>
      <c r="F24" s="8">
        <v>3000</v>
      </c>
      <c r="G24" s="8">
        <v>900</v>
      </c>
      <c r="H24" s="8">
        <v>2000</v>
      </c>
      <c r="I24" s="8">
        <v>1500</v>
      </c>
      <c r="J24" s="18">
        <f t="shared" si="1"/>
        <v>35827.08</v>
      </c>
      <c r="K24" s="8">
        <v>400</v>
      </c>
      <c r="L24" s="19">
        <f t="shared" si="2"/>
        <v>35427.08</v>
      </c>
      <c r="M24" s="20">
        <v>18427</v>
      </c>
      <c r="N24" s="20">
        <f t="shared" si="3"/>
        <v>17000.080000000002</v>
      </c>
      <c r="O24" s="20"/>
      <c r="P24" s="62"/>
      <c r="Q24" s="20">
        <f t="shared" si="10"/>
        <v>2479.8956000000003</v>
      </c>
      <c r="R24" s="20">
        <f t="shared" si="5"/>
        <v>32947.184399999998</v>
      </c>
      <c r="S24" s="20">
        <v>18427</v>
      </c>
      <c r="T24" s="20">
        <f t="shared" si="6"/>
        <v>14520.184399999998</v>
      </c>
      <c r="U24" s="62"/>
    </row>
    <row r="25" spans="1:21" x14ac:dyDescent="0.3">
      <c r="A25" s="6">
        <v>30</v>
      </c>
      <c r="B25" s="9">
        <v>48629</v>
      </c>
      <c r="C25" s="64"/>
      <c r="D25" s="12">
        <f t="shared" si="11"/>
        <v>45224.97</v>
      </c>
      <c r="E25" s="6">
        <v>1000</v>
      </c>
      <c r="F25" s="9">
        <v>3000</v>
      </c>
      <c r="G25" s="9">
        <v>900</v>
      </c>
      <c r="H25" s="9">
        <v>2000</v>
      </c>
      <c r="I25" s="9">
        <v>1500</v>
      </c>
      <c r="J25" s="18">
        <f t="shared" si="1"/>
        <v>36824.97</v>
      </c>
      <c r="K25" s="9">
        <v>400</v>
      </c>
      <c r="L25" s="19">
        <f t="shared" si="2"/>
        <v>36424.97</v>
      </c>
      <c r="M25" s="20">
        <v>18892</v>
      </c>
      <c r="N25" s="20">
        <f t="shared" si="3"/>
        <v>17532.97</v>
      </c>
      <c r="O25" s="20"/>
      <c r="P25" s="62"/>
      <c r="Q25" s="20">
        <f t="shared" si="10"/>
        <v>2549.7479000000003</v>
      </c>
      <c r="R25" s="20">
        <f t="shared" si="5"/>
        <v>33875.222099999999</v>
      </c>
      <c r="S25" s="20">
        <v>18892</v>
      </c>
      <c r="T25" s="20">
        <f t="shared" si="6"/>
        <v>14983.222099999999</v>
      </c>
      <c r="U25" s="62"/>
    </row>
    <row r="26" spans="1:21" x14ac:dyDescent="0.3">
      <c r="A26" s="5">
        <v>31</v>
      </c>
      <c r="B26" s="8">
        <v>50642</v>
      </c>
      <c r="C26" s="64"/>
      <c r="D26" s="10">
        <f t="shared" si="11"/>
        <v>47097.060000000005</v>
      </c>
      <c r="E26" s="5">
        <v>1000</v>
      </c>
      <c r="F26" s="8">
        <v>3000</v>
      </c>
      <c r="G26" s="8">
        <v>900</v>
      </c>
      <c r="H26" s="8">
        <v>2500</v>
      </c>
      <c r="I26" s="8">
        <v>1500</v>
      </c>
      <c r="J26" s="18">
        <f t="shared" si="1"/>
        <v>38197.060000000005</v>
      </c>
      <c r="K26" s="8">
        <v>400</v>
      </c>
      <c r="L26" s="19">
        <f t="shared" si="2"/>
        <v>37797.060000000005</v>
      </c>
      <c r="M26" s="20">
        <v>19357</v>
      </c>
      <c r="N26" s="20">
        <f t="shared" si="3"/>
        <v>18440.060000000005</v>
      </c>
      <c r="O26" s="20"/>
      <c r="P26" s="62"/>
      <c r="Q26" s="20">
        <f t="shared" si="10"/>
        <v>2645.7942000000007</v>
      </c>
      <c r="R26" s="20">
        <f t="shared" si="5"/>
        <v>35151.265800000001</v>
      </c>
      <c r="S26" s="20">
        <v>19357</v>
      </c>
      <c r="T26" s="20">
        <f t="shared" si="6"/>
        <v>15794.265800000001</v>
      </c>
      <c r="U26" s="62"/>
    </row>
    <row r="27" spans="1:21" x14ac:dyDescent="0.3">
      <c r="A27" s="5">
        <v>32</v>
      </c>
      <c r="B27" s="8">
        <v>52210</v>
      </c>
      <c r="C27" s="64"/>
      <c r="D27" s="10">
        <f t="shared" si="11"/>
        <v>48555.3</v>
      </c>
      <c r="E27" s="5">
        <v>1000</v>
      </c>
      <c r="F27" s="8">
        <v>3000</v>
      </c>
      <c r="G27" s="8">
        <v>900</v>
      </c>
      <c r="H27" s="8">
        <v>2500</v>
      </c>
      <c r="I27" s="8">
        <v>1500</v>
      </c>
      <c r="J27" s="18">
        <f t="shared" si="1"/>
        <v>39655.300000000003</v>
      </c>
      <c r="K27" s="8">
        <v>500</v>
      </c>
      <c r="L27" s="19">
        <f t="shared" si="2"/>
        <v>39155.300000000003</v>
      </c>
      <c r="M27" s="20">
        <v>19822</v>
      </c>
      <c r="N27" s="20">
        <f t="shared" si="3"/>
        <v>19333.300000000003</v>
      </c>
      <c r="O27" s="20"/>
      <c r="P27" s="62"/>
      <c r="Q27" s="20">
        <f t="shared" si="10"/>
        <v>2740.8710000000005</v>
      </c>
      <c r="R27" s="20">
        <f t="shared" si="5"/>
        <v>36414.429000000004</v>
      </c>
      <c r="S27" s="20">
        <v>19822</v>
      </c>
      <c r="T27" s="20">
        <f t="shared" si="6"/>
        <v>16592.429000000004</v>
      </c>
      <c r="U27" s="62"/>
    </row>
    <row r="28" spans="1:21" x14ac:dyDescent="0.3">
      <c r="A28" s="5">
        <v>33</v>
      </c>
      <c r="B28" s="8">
        <v>53290</v>
      </c>
      <c r="C28" s="64"/>
      <c r="D28" s="10">
        <f t="shared" si="11"/>
        <v>49559.700000000004</v>
      </c>
      <c r="E28" s="5">
        <v>1000</v>
      </c>
      <c r="F28" s="8">
        <v>3000</v>
      </c>
      <c r="G28" s="8">
        <v>900</v>
      </c>
      <c r="H28" s="8">
        <v>2500</v>
      </c>
      <c r="I28" s="8">
        <v>1500</v>
      </c>
      <c r="J28" s="18">
        <f t="shared" si="1"/>
        <v>40659.700000000004</v>
      </c>
      <c r="K28" s="8">
        <v>500</v>
      </c>
      <c r="L28" s="19">
        <f t="shared" si="2"/>
        <v>40159.700000000004</v>
      </c>
      <c r="M28" s="20">
        <v>20287</v>
      </c>
      <c r="N28" s="20">
        <f t="shared" si="3"/>
        <v>19872.700000000004</v>
      </c>
      <c r="O28" s="20"/>
      <c r="P28" s="62"/>
      <c r="Q28" s="20">
        <f t="shared" si="10"/>
        <v>2811.1790000000005</v>
      </c>
      <c r="R28" s="20">
        <f t="shared" si="5"/>
        <v>37348.521000000001</v>
      </c>
      <c r="S28" s="20">
        <v>20287</v>
      </c>
      <c r="T28" s="20">
        <f t="shared" si="6"/>
        <v>17061.521000000001</v>
      </c>
      <c r="U28" s="62"/>
    </row>
    <row r="29" spans="1:21" x14ac:dyDescent="0.3">
      <c r="A29" s="5">
        <v>34</v>
      </c>
      <c r="B29" s="8">
        <v>54398</v>
      </c>
      <c r="C29" s="64"/>
      <c r="D29" s="10">
        <f t="shared" si="11"/>
        <v>50590.14</v>
      </c>
      <c r="E29" s="5">
        <v>1000</v>
      </c>
      <c r="F29" s="8">
        <v>3000</v>
      </c>
      <c r="G29" s="8">
        <v>900</v>
      </c>
      <c r="H29" s="8">
        <v>2500</v>
      </c>
      <c r="I29" s="8">
        <v>1500</v>
      </c>
      <c r="J29" s="18">
        <f t="shared" si="1"/>
        <v>41690.14</v>
      </c>
      <c r="K29" s="8">
        <v>500</v>
      </c>
      <c r="L29" s="19">
        <f t="shared" si="2"/>
        <v>41190.14</v>
      </c>
      <c r="M29" s="20">
        <v>20752</v>
      </c>
      <c r="N29" s="20">
        <f t="shared" si="3"/>
        <v>20438.14</v>
      </c>
      <c r="O29" s="20"/>
      <c r="P29" s="62"/>
      <c r="Q29" s="20">
        <f t="shared" si="10"/>
        <v>2883.3098000000005</v>
      </c>
      <c r="R29" s="20">
        <f t="shared" si="5"/>
        <v>38306.830199999997</v>
      </c>
      <c r="S29" s="20">
        <v>20752</v>
      </c>
      <c r="T29" s="20">
        <f t="shared" si="6"/>
        <v>17554.830199999997</v>
      </c>
      <c r="U29" s="62"/>
    </row>
    <row r="30" spans="1:21" x14ac:dyDescent="0.3">
      <c r="A30" s="5">
        <v>35</v>
      </c>
      <c r="B30" s="8">
        <v>55481</v>
      </c>
      <c r="C30" s="64"/>
      <c r="D30" s="10">
        <f t="shared" si="11"/>
        <v>51597.33</v>
      </c>
      <c r="E30" s="5">
        <v>1000</v>
      </c>
      <c r="F30" s="8">
        <v>3000</v>
      </c>
      <c r="G30" s="8">
        <v>900</v>
      </c>
      <c r="H30" s="8">
        <v>2500</v>
      </c>
      <c r="I30" s="8">
        <v>1500</v>
      </c>
      <c r="J30" s="18">
        <f t="shared" si="1"/>
        <v>42697.33</v>
      </c>
      <c r="K30" s="8">
        <v>500</v>
      </c>
      <c r="L30" s="19">
        <f t="shared" si="2"/>
        <v>42197.33</v>
      </c>
      <c r="M30" s="20">
        <v>21312</v>
      </c>
      <c r="N30" s="20">
        <f t="shared" si="3"/>
        <v>20885.330000000002</v>
      </c>
      <c r="O30" s="20"/>
      <c r="P30" s="62"/>
      <c r="Q30" s="20">
        <f t="shared" si="10"/>
        <v>2953.8131000000003</v>
      </c>
      <c r="R30" s="20">
        <f t="shared" si="5"/>
        <v>39243.516900000002</v>
      </c>
      <c r="S30" s="20">
        <v>21312</v>
      </c>
      <c r="T30" s="20">
        <f t="shared" si="6"/>
        <v>17931.516900000002</v>
      </c>
      <c r="U30" s="62"/>
    </row>
    <row r="31" spans="1:21" x14ac:dyDescent="0.3">
      <c r="A31" s="6">
        <v>36</v>
      </c>
      <c r="B31" s="9">
        <v>56565</v>
      </c>
      <c r="C31" s="64"/>
      <c r="D31" s="12">
        <f t="shared" si="11"/>
        <v>52605.450000000004</v>
      </c>
      <c r="E31" s="6">
        <v>1000</v>
      </c>
      <c r="F31" s="9">
        <v>3000</v>
      </c>
      <c r="G31" s="9">
        <v>900</v>
      </c>
      <c r="H31" s="9">
        <v>2500</v>
      </c>
      <c r="I31" s="9">
        <v>1500</v>
      </c>
      <c r="J31" s="18">
        <f t="shared" si="1"/>
        <v>43705.450000000004</v>
      </c>
      <c r="K31" s="9">
        <v>500</v>
      </c>
      <c r="L31" s="19">
        <f t="shared" si="2"/>
        <v>43205.450000000004</v>
      </c>
      <c r="M31" s="20">
        <v>21777</v>
      </c>
      <c r="N31" s="20">
        <f t="shared" si="3"/>
        <v>21428.450000000004</v>
      </c>
      <c r="O31" s="20"/>
      <c r="P31" s="62"/>
      <c r="Q31" s="20">
        <f t="shared" si="10"/>
        <v>3024.3815000000004</v>
      </c>
      <c r="R31" s="20">
        <f t="shared" si="5"/>
        <v>40181.068500000001</v>
      </c>
      <c r="S31" s="20">
        <v>21777</v>
      </c>
      <c r="T31" s="20">
        <f t="shared" si="6"/>
        <v>18404.068500000001</v>
      </c>
      <c r="U31" s="62"/>
    </row>
    <row r="32" spans="1:21" x14ac:dyDescent="0.3">
      <c r="A32" s="5">
        <v>37</v>
      </c>
      <c r="B32" s="8">
        <v>57653</v>
      </c>
      <c r="C32" s="64"/>
      <c r="D32" s="10">
        <f t="shared" si="11"/>
        <v>53617.29</v>
      </c>
      <c r="E32" s="5">
        <v>1000</v>
      </c>
      <c r="F32" s="8">
        <v>3000</v>
      </c>
      <c r="G32" s="8">
        <v>900</v>
      </c>
      <c r="H32" s="8">
        <v>2500</v>
      </c>
      <c r="I32" s="8">
        <v>1500</v>
      </c>
      <c r="J32" s="18">
        <f t="shared" si="1"/>
        <v>44717.29</v>
      </c>
      <c r="K32" s="8">
        <v>500</v>
      </c>
      <c r="L32" s="19">
        <f t="shared" si="2"/>
        <v>44217.29</v>
      </c>
      <c r="M32" s="20">
        <v>22242</v>
      </c>
      <c r="N32" s="20">
        <f t="shared" si="3"/>
        <v>21975.29</v>
      </c>
      <c r="O32" s="20"/>
      <c r="P32" s="62"/>
      <c r="Q32" s="20">
        <f t="shared" si="10"/>
        <v>3095.2103000000002</v>
      </c>
      <c r="R32" s="20">
        <f t="shared" si="5"/>
        <v>41122.079700000002</v>
      </c>
      <c r="S32" s="20">
        <v>22242</v>
      </c>
      <c r="T32" s="20">
        <f t="shared" si="6"/>
        <v>18880.079700000002</v>
      </c>
      <c r="U32" s="62"/>
    </row>
    <row r="33" spans="1:21" x14ac:dyDescent="0.3">
      <c r="A33" s="5">
        <v>38</v>
      </c>
      <c r="B33" s="8">
        <v>58745</v>
      </c>
      <c r="C33" s="64"/>
      <c r="D33" s="10">
        <f t="shared" si="11"/>
        <v>54632.850000000006</v>
      </c>
      <c r="E33" s="5">
        <v>1000</v>
      </c>
      <c r="F33" s="8">
        <v>3000</v>
      </c>
      <c r="G33" s="8">
        <v>900</v>
      </c>
      <c r="H33" s="8">
        <v>2500</v>
      </c>
      <c r="I33" s="8">
        <v>1500</v>
      </c>
      <c r="J33" s="18">
        <f t="shared" si="1"/>
        <v>45732.850000000006</v>
      </c>
      <c r="K33" s="8">
        <v>500</v>
      </c>
      <c r="L33" s="19">
        <f t="shared" si="2"/>
        <v>45232.850000000006</v>
      </c>
      <c r="M33" s="20">
        <v>22707</v>
      </c>
      <c r="N33" s="20">
        <f t="shared" si="3"/>
        <v>22525.850000000006</v>
      </c>
      <c r="O33" s="20"/>
      <c r="P33" s="62"/>
      <c r="Q33" s="20">
        <f t="shared" si="10"/>
        <v>3166.2995000000005</v>
      </c>
      <c r="R33" s="20">
        <f t="shared" si="5"/>
        <v>42066.550500000005</v>
      </c>
      <c r="S33" s="20">
        <v>22707</v>
      </c>
      <c r="T33" s="20">
        <f t="shared" si="6"/>
        <v>19359.550500000005</v>
      </c>
      <c r="U33" s="62"/>
    </row>
    <row r="34" spans="1:21" x14ac:dyDescent="0.3">
      <c r="A34" s="5">
        <v>39</v>
      </c>
      <c r="B34" s="8">
        <v>60218</v>
      </c>
      <c r="C34" s="64"/>
      <c r="D34" s="10">
        <f t="shared" si="11"/>
        <v>56002.740000000005</v>
      </c>
      <c r="E34" s="5">
        <v>1000</v>
      </c>
      <c r="F34" s="8">
        <v>3000</v>
      </c>
      <c r="G34" s="8">
        <v>900</v>
      </c>
      <c r="H34" s="8">
        <v>2500</v>
      </c>
      <c r="I34" s="8">
        <v>1500</v>
      </c>
      <c r="J34" s="18">
        <f t="shared" si="1"/>
        <v>47102.740000000005</v>
      </c>
      <c r="K34" s="8">
        <v>500</v>
      </c>
      <c r="L34" s="19">
        <f t="shared" si="2"/>
        <v>46602.740000000005</v>
      </c>
      <c r="M34" s="20">
        <v>23172</v>
      </c>
      <c r="N34" s="20">
        <f t="shared" si="3"/>
        <v>23430.740000000005</v>
      </c>
      <c r="O34" s="20"/>
      <c r="P34" s="62"/>
      <c r="Q34" s="20">
        <f t="shared" si="10"/>
        <v>3262.1918000000005</v>
      </c>
      <c r="R34" s="20">
        <f t="shared" si="5"/>
        <v>43340.548200000005</v>
      </c>
      <c r="S34" s="20">
        <v>23172</v>
      </c>
      <c r="T34" s="20">
        <f t="shared" si="6"/>
        <v>20168.548200000005</v>
      </c>
      <c r="U34" s="62"/>
    </row>
    <row r="35" spans="1:21" x14ac:dyDescent="0.3">
      <c r="A35" s="5">
        <v>40</v>
      </c>
      <c r="B35" s="8">
        <v>61307</v>
      </c>
      <c r="C35" s="64"/>
      <c r="D35" s="10">
        <f t="shared" si="11"/>
        <v>57015.51</v>
      </c>
      <c r="E35" s="5">
        <v>1000</v>
      </c>
      <c r="F35" s="8">
        <v>3000</v>
      </c>
      <c r="G35" s="8">
        <v>900</v>
      </c>
      <c r="H35" s="8">
        <v>2500</v>
      </c>
      <c r="I35" s="8">
        <v>1500</v>
      </c>
      <c r="J35" s="18">
        <f t="shared" si="1"/>
        <v>48115.51</v>
      </c>
      <c r="K35" s="8">
        <v>500</v>
      </c>
      <c r="L35" s="19">
        <f t="shared" si="2"/>
        <v>47615.51</v>
      </c>
      <c r="M35" s="20">
        <v>23637</v>
      </c>
      <c r="N35" s="20">
        <f t="shared" si="3"/>
        <v>23978.510000000002</v>
      </c>
      <c r="O35" s="20"/>
      <c r="P35" s="62"/>
      <c r="Q35" s="20">
        <f t="shared" si="10"/>
        <v>3333.0857000000005</v>
      </c>
      <c r="R35" s="20">
        <f t="shared" si="5"/>
        <v>44282.424299999999</v>
      </c>
      <c r="S35" s="20">
        <v>23637</v>
      </c>
      <c r="T35" s="20">
        <f t="shared" si="6"/>
        <v>20645.424299999999</v>
      </c>
      <c r="U35" s="62"/>
    </row>
    <row r="36" spans="1:21" x14ac:dyDescent="0.3">
      <c r="A36" s="5">
        <v>41</v>
      </c>
      <c r="B36" s="8">
        <v>62405</v>
      </c>
      <c r="C36" s="64"/>
      <c r="D36" s="10">
        <f t="shared" si="11"/>
        <v>58036.65</v>
      </c>
      <c r="E36" s="5">
        <v>1000</v>
      </c>
      <c r="F36" s="8">
        <v>3000</v>
      </c>
      <c r="G36" s="8">
        <v>900</v>
      </c>
      <c r="H36" s="8">
        <v>2500</v>
      </c>
      <c r="I36" s="8">
        <v>1500</v>
      </c>
      <c r="J36" s="18">
        <f t="shared" si="1"/>
        <v>49136.65</v>
      </c>
      <c r="K36" s="8">
        <v>500</v>
      </c>
      <c r="L36" s="19">
        <f t="shared" si="2"/>
        <v>48636.65</v>
      </c>
      <c r="M36" s="20">
        <v>24102</v>
      </c>
      <c r="N36" s="20">
        <f t="shared" si="3"/>
        <v>24534.65</v>
      </c>
      <c r="O36" s="20"/>
      <c r="P36" s="62"/>
      <c r="Q36" s="20">
        <f t="shared" si="10"/>
        <v>3404.5655000000006</v>
      </c>
      <c r="R36" s="20">
        <f t="shared" si="5"/>
        <v>45232.084499999997</v>
      </c>
      <c r="S36" s="20">
        <v>24102</v>
      </c>
      <c r="T36" s="20">
        <f t="shared" si="6"/>
        <v>21130.084499999997</v>
      </c>
      <c r="U36" s="62"/>
    </row>
    <row r="37" spans="1:21" x14ac:dyDescent="0.3">
      <c r="A37" s="5">
        <v>42</v>
      </c>
      <c r="B37" s="8">
        <v>63458</v>
      </c>
      <c r="C37" s="64"/>
      <c r="D37" s="10">
        <f t="shared" si="11"/>
        <v>59015.94</v>
      </c>
      <c r="E37" s="5">
        <v>1000</v>
      </c>
      <c r="F37" s="8">
        <v>3000</v>
      </c>
      <c r="G37" s="8">
        <v>900</v>
      </c>
      <c r="H37" s="8">
        <v>2500</v>
      </c>
      <c r="I37" s="8">
        <v>1500</v>
      </c>
      <c r="J37" s="18">
        <f t="shared" si="1"/>
        <v>50115.94</v>
      </c>
      <c r="K37" s="8">
        <v>500</v>
      </c>
      <c r="L37" s="19">
        <f t="shared" si="2"/>
        <v>49615.94</v>
      </c>
      <c r="M37" s="20">
        <v>24567</v>
      </c>
      <c r="N37" s="20">
        <f t="shared" si="3"/>
        <v>25048.940000000002</v>
      </c>
      <c r="O37" s="20"/>
      <c r="P37" s="62"/>
      <c r="Q37" s="20">
        <f t="shared" si="10"/>
        <v>3473.1158000000005</v>
      </c>
      <c r="R37" s="20">
        <f t="shared" si="5"/>
        <v>46142.824200000003</v>
      </c>
      <c r="S37" s="20">
        <v>24567</v>
      </c>
      <c r="T37" s="20">
        <f t="shared" si="6"/>
        <v>21575.824200000003</v>
      </c>
      <c r="U37" s="62"/>
    </row>
    <row r="38" spans="1:21" x14ac:dyDescent="0.3">
      <c r="A38" s="5">
        <v>43</v>
      </c>
      <c r="B38" s="8">
        <v>64572</v>
      </c>
      <c r="C38" s="64"/>
      <c r="D38" s="10">
        <f t="shared" si="11"/>
        <v>60051.960000000006</v>
      </c>
      <c r="E38" s="5">
        <v>1000</v>
      </c>
      <c r="F38" s="8">
        <v>3000</v>
      </c>
      <c r="G38" s="8">
        <v>900</v>
      </c>
      <c r="H38" s="8">
        <v>2500</v>
      </c>
      <c r="I38" s="8">
        <v>1500</v>
      </c>
      <c r="J38" s="18">
        <f t="shared" si="1"/>
        <v>51151.960000000006</v>
      </c>
      <c r="K38" s="8">
        <v>500</v>
      </c>
      <c r="L38" s="19">
        <f t="shared" si="2"/>
        <v>50651.960000000006</v>
      </c>
      <c r="M38" s="20">
        <v>25032</v>
      </c>
      <c r="N38" s="20">
        <f t="shared" si="3"/>
        <v>25619.960000000006</v>
      </c>
      <c r="O38" s="20"/>
      <c r="P38" s="62"/>
      <c r="Q38" s="20">
        <f t="shared" si="10"/>
        <v>3545.6372000000006</v>
      </c>
      <c r="R38" s="20">
        <f t="shared" si="5"/>
        <v>47106.322800000009</v>
      </c>
      <c r="S38" s="20">
        <v>25032</v>
      </c>
      <c r="T38" s="20">
        <f t="shared" si="6"/>
        <v>22074.322800000009</v>
      </c>
      <c r="U38" s="62"/>
    </row>
    <row r="39" spans="1:21" x14ac:dyDescent="0.3">
      <c r="A39" s="5">
        <v>44</v>
      </c>
      <c r="B39" s="8">
        <v>65663</v>
      </c>
      <c r="C39" s="64"/>
      <c r="D39" s="10">
        <f t="shared" si="11"/>
        <v>61066.590000000004</v>
      </c>
      <c r="E39" s="5">
        <v>1000</v>
      </c>
      <c r="F39" s="8">
        <v>3000</v>
      </c>
      <c r="G39" s="8">
        <v>900</v>
      </c>
      <c r="H39" s="8">
        <v>2500</v>
      </c>
      <c r="I39" s="8">
        <v>1500</v>
      </c>
      <c r="J39" s="18">
        <f t="shared" si="1"/>
        <v>52166.590000000004</v>
      </c>
      <c r="K39" s="8">
        <v>500</v>
      </c>
      <c r="L39" s="19">
        <f t="shared" si="2"/>
        <v>51666.590000000004</v>
      </c>
      <c r="M39" s="20">
        <v>25497</v>
      </c>
      <c r="N39" s="20">
        <f t="shared" si="3"/>
        <v>26169.590000000004</v>
      </c>
      <c r="O39" s="20"/>
      <c r="P39" s="62"/>
      <c r="Q39" s="20">
        <f t="shared" si="10"/>
        <v>3616.6613000000007</v>
      </c>
      <c r="R39" s="20">
        <f t="shared" si="5"/>
        <v>48049.928700000004</v>
      </c>
      <c r="S39" s="20">
        <v>25497</v>
      </c>
      <c r="T39" s="20">
        <f t="shared" si="6"/>
        <v>22552.928700000004</v>
      </c>
      <c r="U39" s="62"/>
    </row>
    <row r="40" spans="1:21" x14ac:dyDescent="0.3">
      <c r="A40" s="5">
        <v>45</v>
      </c>
      <c r="B40" s="8">
        <v>66749</v>
      </c>
      <c r="C40" s="64"/>
      <c r="D40" s="10">
        <f t="shared" si="11"/>
        <v>62076.57</v>
      </c>
      <c r="E40" s="5">
        <v>1000</v>
      </c>
      <c r="F40" s="8">
        <v>3000</v>
      </c>
      <c r="G40" s="8">
        <v>900</v>
      </c>
      <c r="H40" s="8">
        <v>2500</v>
      </c>
      <c r="I40" s="8">
        <v>1500</v>
      </c>
      <c r="J40" s="18">
        <f t="shared" si="1"/>
        <v>53176.57</v>
      </c>
      <c r="K40" s="8">
        <v>500</v>
      </c>
      <c r="L40" s="19">
        <f t="shared" si="2"/>
        <v>52676.57</v>
      </c>
      <c r="M40" s="20">
        <v>25962</v>
      </c>
      <c r="N40" s="20">
        <f t="shared" si="3"/>
        <v>26714.57</v>
      </c>
      <c r="O40" s="20"/>
      <c r="P40" s="62"/>
      <c r="Q40" s="20">
        <f t="shared" si="10"/>
        <v>3687.3599000000004</v>
      </c>
      <c r="R40" s="20">
        <f t="shared" si="5"/>
        <v>48989.210099999997</v>
      </c>
      <c r="S40" s="20">
        <v>25962</v>
      </c>
      <c r="T40" s="20">
        <f t="shared" si="6"/>
        <v>23027.210099999997</v>
      </c>
      <c r="U40" s="62"/>
    </row>
    <row r="41" spans="1:21" x14ac:dyDescent="0.3">
      <c r="A41" s="5">
        <v>46</v>
      </c>
      <c r="B41" s="8">
        <v>67835</v>
      </c>
      <c r="C41" s="64"/>
      <c r="D41" s="10">
        <f t="shared" si="11"/>
        <v>63086.55</v>
      </c>
      <c r="E41" s="5">
        <v>1000</v>
      </c>
      <c r="F41" s="8">
        <v>3000</v>
      </c>
      <c r="G41" s="8">
        <v>900</v>
      </c>
      <c r="H41" s="8">
        <v>2500</v>
      </c>
      <c r="I41" s="8">
        <v>1500</v>
      </c>
      <c r="J41" s="18">
        <f t="shared" si="1"/>
        <v>54186.55</v>
      </c>
      <c r="K41" s="8">
        <v>500</v>
      </c>
      <c r="L41" s="19">
        <f t="shared" si="2"/>
        <v>53686.55</v>
      </c>
      <c r="M41" s="20">
        <v>26843</v>
      </c>
      <c r="N41" s="20">
        <f t="shared" si="3"/>
        <v>26843.550000000003</v>
      </c>
      <c r="O41" s="20"/>
      <c r="P41" s="62"/>
      <c r="Q41" s="20">
        <f t="shared" si="10"/>
        <v>3758.0585000000005</v>
      </c>
      <c r="R41" s="20">
        <f t="shared" si="5"/>
        <v>49928.491500000004</v>
      </c>
      <c r="S41" s="20">
        <v>26843</v>
      </c>
      <c r="T41" s="20">
        <f t="shared" si="6"/>
        <v>23085.491500000004</v>
      </c>
      <c r="U41" s="62"/>
    </row>
    <row r="42" spans="1:21" x14ac:dyDescent="0.3">
      <c r="A42" s="5">
        <v>47</v>
      </c>
      <c r="B42" s="8">
        <v>68927</v>
      </c>
      <c r="C42" s="64"/>
      <c r="D42" s="10">
        <f t="shared" si="11"/>
        <v>64102.11</v>
      </c>
      <c r="E42" s="5">
        <v>1000</v>
      </c>
      <c r="F42" s="8">
        <v>3000</v>
      </c>
      <c r="G42" s="8">
        <v>900</v>
      </c>
      <c r="H42" s="8">
        <v>2500</v>
      </c>
      <c r="I42" s="8">
        <v>1500</v>
      </c>
      <c r="J42" s="18">
        <f t="shared" si="1"/>
        <v>55202.11</v>
      </c>
      <c r="K42" s="8">
        <v>500</v>
      </c>
      <c r="L42" s="19">
        <f t="shared" si="2"/>
        <v>54702.11</v>
      </c>
      <c r="M42" s="20">
        <v>27308</v>
      </c>
      <c r="N42" s="20">
        <f t="shared" si="3"/>
        <v>27394.11</v>
      </c>
      <c r="O42" s="20"/>
      <c r="P42" s="62"/>
      <c r="Q42" s="20">
        <f t="shared" si="10"/>
        <v>3829.1477000000004</v>
      </c>
      <c r="R42" s="20">
        <f t="shared" si="5"/>
        <v>50872.962299999999</v>
      </c>
      <c r="S42" s="20">
        <v>27308</v>
      </c>
      <c r="T42" s="20">
        <f t="shared" si="6"/>
        <v>23564.962299999999</v>
      </c>
      <c r="U42" s="62"/>
    </row>
    <row r="43" spans="1:21" x14ac:dyDescent="0.3">
      <c r="A43" s="5">
        <v>48</v>
      </c>
      <c r="B43" s="8">
        <v>70018</v>
      </c>
      <c r="C43" s="65"/>
      <c r="D43" s="10">
        <f t="shared" si="11"/>
        <v>65116.740000000005</v>
      </c>
      <c r="E43" s="5">
        <v>1000</v>
      </c>
      <c r="F43" s="8">
        <v>3000</v>
      </c>
      <c r="G43" s="8">
        <v>900</v>
      </c>
      <c r="H43" s="8">
        <v>2500</v>
      </c>
      <c r="I43" s="8">
        <v>1500</v>
      </c>
      <c r="J43" s="18">
        <f t="shared" si="1"/>
        <v>56216.740000000005</v>
      </c>
      <c r="K43" s="8">
        <v>500</v>
      </c>
      <c r="L43" s="19">
        <f t="shared" si="2"/>
        <v>55716.740000000005</v>
      </c>
      <c r="M43" s="20">
        <v>27773</v>
      </c>
      <c r="N43" s="20">
        <f t="shared" si="3"/>
        <v>27943.740000000005</v>
      </c>
      <c r="O43" s="20"/>
      <c r="P43" s="62"/>
      <c r="Q43" s="20">
        <f t="shared" si="10"/>
        <v>3900.1718000000005</v>
      </c>
      <c r="R43" s="20">
        <f t="shared" si="5"/>
        <v>51816.568200000002</v>
      </c>
      <c r="S43" s="20">
        <v>27773</v>
      </c>
      <c r="T43" s="20">
        <f t="shared" si="6"/>
        <v>24043.568200000002</v>
      </c>
      <c r="U43" s="62"/>
    </row>
  </sheetData>
  <mergeCells count="10">
    <mergeCell ref="U3:U10"/>
    <mergeCell ref="U11:U17"/>
    <mergeCell ref="U18:U43"/>
    <mergeCell ref="C18:C43"/>
    <mergeCell ref="A1:L1"/>
    <mergeCell ref="C3:C10"/>
    <mergeCell ref="C11:C17"/>
    <mergeCell ref="P3:P10"/>
    <mergeCell ref="P11:P17"/>
    <mergeCell ref="P18:P43"/>
  </mergeCells>
  <pageMargins left="0.7" right="0.7" top="0.75" bottom="0.75" header="0.3" footer="0.3"/>
  <pageSetup scale="46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91B-7B06-49C1-9A93-6BD40022FA0C}">
  <sheetPr>
    <pageSetUpPr fitToPage="1"/>
  </sheetPr>
  <dimension ref="A1:O45"/>
  <sheetViews>
    <sheetView workbookViewId="0">
      <selection sqref="A1:K43"/>
    </sheetView>
  </sheetViews>
  <sheetFormatPr defaultRowHeight="14.4" x14ac:dyDescent="0.3"/>
  <cols>
    <col min="1" max="1" width="11.5546875" style="26" customWidth="1"/>
    <col min="2" max="2" width="8.109375" style="30" customWidth="1"/>
    <col min="3" max="3" width="11.88671875" style="26" customWidth="1"/>
    <col min="4" max="4" width="15.88671875" customWidth="1"/>
    <col min="5" max="5" width="12.44140625" style="26" customWidth="1"/>
    <col min="6" max="6" width="14.6640625" style="26" customWidth="1"/>
    <col min="7" max="8" width="12.44140625" style="26" customWidth="1"/>
    <col min="9" max="9" width="16.109375" style="50" customWidth="1"/>
    <col min="10" max="10" width="11.88671875" style="26" customWidth="1"/>
    <col min="11" max="11" width="15.33203125" style="53" customWidth="1"/>
    <col min="12" max="12" width="8.6640625" style="26" customWidth="1"/>
    <col min="13" max="13" width="15" style="11" customWidth="1"/>
    <col min="14" max="14" width="15" style="50" customWidth="1"/>
    <col min="15" max="15" width="7.44140625" style="57" customWidth="1"/>
  </cols>
  <sheetData>
    <row r="1" spans="1:15" ht="25.8" x14ac:dyDescent="0.5">
      <c r="A1" s="60" t="s">
        <v>24</v>
      </c>
      <c r="B1" s="60"/>
      <c r="C1" s="60"/>
      <c r="D1" s="60"/>
      <c r="E1" s="60"/>
      <c r="F1" s="60"/>
      <c r="G1" s="60"/>
      <c r="H1" s="60"/>
      <c r="I1" s="60"/>
      <c r="J1" s="60"/>
      <c r="K1" s="60"/>
      <c r="M1" s="66" t="s">
        <v>28</v>
      </c>
      <c r="N1" s="66"/>
      <c r="O1" s="66"/>
    </row>
    <row r="2" spans="1:15" ht="100.8" x14ac:dyDescent="0.3">
      <c r="A2" s="17" t="s">
        <v>21</v>
      </c>
      <c r="B2" s="27" t="s">
        <v>22</v>
      </c>
      <c r="C2" s="17" t="s">
        <v>2</v>
      </c>
      <c r="D2" s="17" t="s">
        <v>3</v>
      </c>
      <c r="E2" s="17" t="s">
        <v>23</v>
      </c>
      <c r="F2" s="17" t="s">
        <v>25</v>
      </c>
      <c r="G2" s="17" t="s">
        <v>5</v>
      </c>
      <c r="H2" s="17" t="s">
        <v>4</v>
      </c>
      <c r="I2" s="32" t="s">
        <v>8</v>
      </c>
      <c r="J2" s="17" t="s">
        <v>9</v>
      </c>
      <c r="K2" s="51" t="s">
        <v>10</v>
      </c>
      <c r="M2" s="54" t="s">
        <v>18</v>
      </c>
      <c r="N2" s="46" t="s">
        <v>26</v>
      </c>
      <c r="O2" s="55" t="s">
        <v>27</v>
      </c>
    </row>
    <row r="3" spans="1:15" x14ac:dyDescent="0.3">
      <c r="A3" s="5">
        <v>8</v>
      </c>
      <c r="B3" s="28">
        <v>19100</v>
      </c>
      <c r="C3" s="61">
        <v>0.05</v>
      </c>
      <c r="D3" s="20">
        <f>B3*0.95</f>
        <v>18145</v>
      </c>
      <c r="E3" s="33"/>
      <c r="F3" s="33"/>
      <c r="G3" s="34">
        <v>2000</v>
      </c>
      <c r="H3" s="34">
        <v>600</v>
      </c>
      <c r="I3" s="18">
        <f>D3-E3-F3-G3-H3</f>
        <v>15545</v>
      </c>
      <c r="J3" s="33">
        <v>200</v>
      </c>
      <c r="K3" s="52">
        <f>I3-J3</f>
        <v>15345</v>
      </c>
      <c r="M3" s="35">
        <v>7291</v>
      </c>
      <c r="N3" s="18">
        <f>K3-M3</f>
        <v>8054</v>
      </c>
      <c r="O3" s="56">
        <f>N3/K3</f>
        <v>0.52486151840990547</v>
      </c>
    </row>
    <row r="4" spans="1:15" x14ac:dyDescent="0.3">
      <c r="A4" s="5">
        <v>9</v>
      </c>
      <c r="B4" s="28">
        <v>20210</v>
      </c>
      <c r="C4" s="62"/>
      <c r="D4" s="20">
        <f t="shared" ref="D4:D10" si="0">B4*0.95</f>
        <v>19199.5</v>
      </c>
      <c r="E4" s="33"/>
      <c r="F4" s="33"/>
      <c r="G4" s="34">
        <v>2000</v>
      </c>
      <c r="H4" s="34">
        <v>600</v>
      </c>
      <c r="I4" s="18">
        <f t="shared" ref="I4:I43" si="1">D4-E4-F4-G4-H4</f>
        <v>16599.5</v>
      </c>
      <c r="J4" s="33">
        <v>200</v>
      </c>
      <c r="K4" s="52">
        <f t="shared" ref="K4:K43" si="2">I4-J4</f>
        <v>16399.5</v>
      </c>
      <c r="M4" s="35">
        <v>7756</v>
      </c>
      <c r="N4" s="18">
        <f t="shared" ref="N4:N43" si="3">K4-M4</f>
        <v>8643.5</v>
      </c>
      <c r="O4" s="56">
        <f t="shared" ref="O4:O43" si="4">N4/K4</f>
        <v>0.5270587517912132</v>
      </c>
    </row>
    <row r="5" spans="1:15" x14ac:dyDescent="0.3">
      <c r="A5" s="5">
        <v>10</v>
      </c>
      <c r="B5" s="28">
        <v>21320</v>
      </c>
      <c r="C5" s="62"/>
      <c r="D5" s="20">
        <f t="shared" si="0"/>
        <v>20254</v>
      </c>
      <c r="E5" s="33"/>
      <c r="F5" s="33"/>
      <c r="G5" s="34">
        <v>2000</v>
      </c>
      <c r="H5" s="34">
        <v>600</v>
      </c>
      <c r="I5" s="18">
        <f t="shared" si="1"/>
        <v>17654</v>
      </c>
      <c r="J5" s="33">
        <v>200</v>
      </c>
      <c r="K5" s="52">
        <f t="shared" si="2"/>
        <v>17454</v>
      </c>
      <c r="M5" s="35">
        <v>8282</v>
      </c>
      <c r="N5" s="18">
        <f t="shared" si="3"/>
        <v>9172</v>
      </c>
      <c r="O5" s="56">
        <f t="shared" si="4"/>
        <v>0.52549558840380428</v>
      </c>
    </row>
    <row r="6" spans="1:15" s="45" customFormat="1" x14ac:dyDescent="0.3">
      <c r="A6" s="39">
        <v>11</v>
      </c>
      <c r="B6" s="40">
        <v>24100</v>
      </c>
      <c r="C6" s="62"/>
      <c r="D6" s="41">
        <f t="shared" si="0"/>
        <v>22895</v>
      </c>
      <c r="E6" s="42">
        <v>1000</v>
      </c>
      <c r="F6" s="42">
        <v>600</v>
      </c>
      <c r="G6" s="34">
        <v>2000</v>
      </c>
      <c r="H6" s="42">
        <v>600</v>
      </c>
      <c r="I6" s="18">
        <f t="shared" si="1"/>
        <v>18695</v>
      </c>
      <c r="J6" s="43">
        <v>200</v>
      </c>
      <c r="K6" s="52">
        <f t="shared" si="2"/>
        <v>18495</v>
      </c>
      <c r="L6" s="44"/>
      <c r="M6" s="35">
        <v>8747</v>
      </c>
      <c r="N6" s="18">
        <f t="shared" si="3"/>
        <v>9748</v>
      </c>
      <c r="O6" s="56">
        <f t="shared" si="4"/>
        <v>0.52706136793728031</v>
      </c>
    </row>
    <row r="7" spans="1:15" s="11" customFormat="1" x14ac:dyDescent="0.3">
      <c r="A7" s="6">
        <v>12</v>
      </c>
      <c r="B7" s="29">
        <v>25225</v>
      </c>
      <c r="C7" s="62"/>
      <c r="D7" s="35">
        <f t="shared" si="0"/>
        <v>23963.75</v>
      </c>
      <c r="E7" s="36">
        <v>1000</v>
      </c>
      <c r="F7" s="36">
        <v>600</v>
      </c>
      <c r="G7" s="34">
        <v>2000</v>
      </c>
      <c r="H7" s="36">
        <v>600</v>
      </c>
      <c r="I7" s="18">
        <f t="shared" si="1"/>
        <v>19763.75</v>
      </c>
      <c r="J7" s="37">
        <v>200</v>
      </c>
      <c r="K7" s="52">
        <f t="shared" si="2"/>
        <v>19563.75</v>
      </c>
      <c r="L7" s="38"/>
      <c r="M7" s="35">
        <v>9268</v>
      </c>
      <c r="N7" s="18">
        <f t="shared" si="3"/>
        <v>10295.75</v>
      </c>
      <c r="O7" s="56">
        <f t="shared" si="4"/>
        <v>0.52626669222413902</v>
      </c>
    </row>
    <row r="8" spans="1:15" x14ac:dyDescent="0.3">
      <c r="A8" s="5">
        <v>13</v>
      </c>
      <c r="B8" s="28">
        <v>26440</v>
      </c>
      <c r="C8" s="62"/>
      <c r="D8" s="20">
        <f t="shared" si="0"/>
        <v>25118</v>
      </c>
      <c r="E8" s="34">
        <v>1000</v>
      </c>
      <c r="F8" s="34">
        <v>600</v>
      </c>
      <c r="G8" s="34">
        <v>2000</v>
      </c>
      <c r="H8" s="34">
        <v>600</v>
      </c>
      <c r="I8" s="18">
        <f t="shared" si="1"/>
        <v>20918</v>
      </c>
      <c r="J8" s="33">
        <v>200</v>
      </c>
      <c r="K8" s="52">
        <f t="shared" si="2"/>
        <v>20718</v>
      </c>
      <c r="M8" s="35">
        <v>9733</v>
      </c>
      <c r="N8" s="18">
        <f t="shared" si="3"/>
        <v>10985</v>
      </c>
      <c r="O8" s="56">
        <f t="shared" si="4"/>
        <v>0.53021527174437688</v>
      </c>
    </row>
    <row r="9" spans="1:15" x14ac:dyDescent="0.3">
      <c r="A9" s="5">
        <v>14</v>
      </c>
      <c r="B9" s="28">
        <v>28210</v>
      </c>
      <c r="C9" s="62"/>
      <c r="D9" s="20">
        <f t="shared" si="0"/>
        <v>26799.5</v>
      </c>
      <c r="E9" s="34">
        <v>1000</v>
      </c>
      <c r="F9" s="34">
        <v>600</v>
      </c>
      <c r="G9" s="34">
        <v>2000</v>
      </c>
      <c r="H9" s="34">
        <v>600</v>
      </c>
      <c r="I9" s="18">
        <f t="shared" si="1"/>
        <v>22599.5</v>
      </c>
      <c r="J9" s="33">
        <v>200</v>
      </c>
      <c r="K9" s="52">
        <f t="shared" si="2"/>
        <v>22399.5</v>
      </c>
      <c r="M9" s="35">
        <v>10326</v>
      </c>
      <c r="N9" s="18">
        <f t="shared" si="3"/>
        <v>12073.5</v>
      </c>
      <c r="O9" s="56">
        <f t="shared" si="4"/>
        <v>0.53900756713319498</v>
      </c>
    </row>
    <row r="10" spans="1:15" x14ac:dyDescent="0.3">
      <c r="A10" s="5">
        <v>15</v>
      </c>
      <c r="B10" s="28">
        <v>29310</v>
      </c>
      <c r="C10" s="62"/>
      <c r="D10" s="20">
        <f t="shared" si="0"/>
        <v>27844.5</v>
      </c>
      <c r="E10" s="34">
        <v>1000</v>
      </c>
      <c r="F10" s="34">
        <v>600</v>
      </c>
      <c r="G10" s="34">
        <v>2000</v>
      </c>
      <c r="H10" s="34">
        <v>600</v>
      </c>
      <c r="I10" s="18">
        <f t="shared" si="1"/>
        <v>23644.5</v>
      </c>
      <c r="J10" s="33">
        <v>200</v>
      </c>
      <c r="K10" s="52">
        <f t="shared" si="2"/>
        <v>23444.5</v>
      </c>
      <c r="M10" s="35">
        <v>10791</v>
      </c>
      <c r="N10" s="18">
        <f t="shared" si="3"/>
        <v>12653.5</v>
      </c>
      <c r="O10" s="56">
        <f t="shared" si="4"/>
        <v>0.53972146985433689</v>
      </c>
    </row>
    <row r="11" spans="1:15" x14ac:dyDescent="0.3">
      <c r="A11" s="5">
        <v>16</v>
      </c>
      <c r="B11" s="28">
        <v>31120</v>
      </c>
      <c r="C11" s="61">
        <v>0.06</v>
      </c>
      <c r="D11" s="20">
        <f>B11*0.94</f>
        <v>29252.799999999999</v>
      </c>
      <c r="E11" s="34">
        <v>1000</v>
      </c>
      <c r="F11" s="34">
        <v>600</v>
      </c>
      <c r="G11" s="34">
        <v>2000</v>
      </c>
      <c r="H11" s="34">
        <v>1000</v>
      </c>
      <c r="I11" s="18">
        <f t="shared" si="1"/>
        <v>24652.799999999999</v>
      </c>
      <c r="J11" s="33">
        <v>300</v>
      </c>
      <c r="K11" s="52">
        <f t="shared" si="2"/>
        <v>24352.799999999999</v>
      </c>
      <c r="M11" s="35">
        <v>11256</v>
      </c>
      <c r="N11" s="18">
        <f t="shared" si="3"/>
        <v>13096.8</v>
      </c>
      <c r="O11" s="56">
        <f t="shared" si="4"/>
        <v>0.53779442199664929</v>
      </c>
    </row>
    <row r="12" spans="1:15" x14ac:dyDescent="0.3">
      <c r="A12" s="5">
        <v>17</v>
      </c>
      <c r="B12" s="28">
        <v>32230</v>
      </c>
      <c r="C12" s="62"/>
      <c r="D12" s="20">
        <f t="shared" ref="D12:D16" si="5">B12*0.94</f>
        <v>30296.199999999997</v>
      </c>
      <c r="E12" s="34">
        <v>1000</v>
      </c>
      <c r="F12" s="34">
        <v>600</v>
      </c>
      <c r="G12" s="34">
        <v>2000</v>
      </c>
      <c r="H12" s="34">
        <v>1000</v>
      </c>
      <c r="I12" s="18">
        <f t="shared" si="1"/>
        <v>25696.199999999997</v>
      </c>
      <c r="J12" s="33">
        <v>300</v>
      </c>
      <c r="K12" s="52">
        <f t="shared" si="2"/>
        <v>25396.199999999997</v>
      </c>
      <c r="M12" s="35">
        <v>12236</v>
      </c>
      <c r="N12" s="18">
        <f t="shared" si="3"/>
        <v>13160.199999999997</v>
      </c>
      <c r="O12" s="56">
        <f t="shared" si="4"/>
        <v>0.51819563556752579</v>
      </c>
    </row>
    <row r="13" spans="1:15" x14ac:dyDescent="0.3">
      <c r="A13" s="5">
        <v>18</v>
      </c>
      <c r="B13" s="28">
        <v>33580</v>
      </c>
      <c r="C13" s="62"/>
      <c r="D13" s="20">
        <f t="shared" si="5"/>
        <v>31565.199999999997</v>
      </c>
      <c r="E13" s="34">
        <v>1000</v>
      </c>
      <c r="F13" s="34">
        <v>1200</v>
      </c>
      <c r="G13" s="34">
        <v>2000</v>
      </c>
      <c r="H13" s="34">
        <v>1000</v>
      </c>
      <c r="I13" s="18">
        <f t="shared" si="1"/>
        <v>26365.199999999997</v>
      </c>
      <c r="J13" s="33">
        <v>300</v>
      </c>
      <c r="K13" s="52">
        <f t="shared" si="2"/>
        <v>26065.199999999997</v>
      </c>
      <c r="M13" s="35">
        <v>12701</v>
      </c>
      <c r="N13" s="18">
        <f t="shared" si="3"/>
        <v>13364.199999999997</v>
      </c>
      <c r="O13" s="56">
        <f t="shared" si="4"/>
        <v>0.51272194343415733</v>
      </c>
    </row>
    <row r="14" spans="1:15" x14ac:dyDescent="0.3">
      <c r="A14" s="5">
        <v>19</v>
      </c>
      <c r="B14" s="28">
        <v>36360</v>
      </c>
      <c r="C14" s="62"/>
      <c r="D14" s="20">
        <f t="shared" si="5"/>
        <v>34178.400000000001</v>
      </c>
      <c r="E14" s="34">
        <v>1500</v>
      </c>
      <c r="F14" s="34">
        <v>1200</v>
      </c>
      <c r="G14" s="34">
        <v>3900</v>
      </c>
      <c r="H14" s="34">
        <v>1000</v>
      </c>
      <c r="I14" s="18">
        <f t="shared" si="1"/>
        <v>26578.400000000001</v>
      </c>
      <c r="J14" s="33">
        <v>300</v>
      </c>
      <c r="K14" s="52">
        <f t="shared" si="2"/>
        <v>26278.400000000001</v>
      </c>
      <c r="M14" s="35">
        <v>13233</v>
      </c>
      <c r="N14" s="18">
        <f t="shared" si="3"/>
        <v>13045.400000000001</v>
      </c>
      <c r="O14" s="56">
        <f t="shared" si="4"/>
        <v>0.49643052849488556</v>
      </c>
    </row>
    <row r="15" spans="1:15" x14ac:dyDescent="0.3">
      <c r="A15" s="5">
        <v>20</v>
      </c>
      <c r="B15" s="28">
        <v>37815</v>
      </c>
      <c r="C15" s="62"/>
      <c r="D15" s="20">
        <f t="shared" si="5"/>
        <v>35546.1</v>
      </c>
      <c r="E15" s="34">
        <v>1500</v>
      </c>
      <c r="F15" s="34">
        <v>1200</v>
      </c>
      <c r="G15" s="34">
        <v>3900</v>
      </c>
      <c r="H15" s="34">
        <v>1000</v>
      </c>
      <c r="I15" s="18">
        <f t="shared" si="1"/>
        <v>27946.1</v>
      </c>
      <c r="J15" s="33">
        <v>300</v>
      </c>
      <c r="K15" s="52">
        <f t="shared" si="2"/>
        <v>27646.1</v>
      </c>
      <c r="M15" s="35">
        <v>13698</v>
      </c>
      <c r="N15" s="18">
        <f t="shared" si="3"/>
        <v>13948.099999999999</v>
      </c>
      <c r="O15" s="56">
        <f t="shared" si="4"/>
        <v>0.5045232419762643</v>
      </c>
    </row>
    <row r="16" spans="1:15" x14ac:dyDescent="0.3">
      <c r="A16" s="5">
        <v>21</v>
      </c>
      <c r="B16" s="28">
        <v>39010</v>
      </c>
      <c r="C16" s="62"/>
      <c r="D16" s="20">
        <f t="shared" si="5"/>
        <v>36669.4</v>
      </c>
      <c r="E16" s="34">
        <v>1500</v>
      </c>
      <c r="F16" s="34">
        <v>1200</v>
      </c>
      <c r="G16" s="34">
        <v>3900</v>
      </c>
      <c r="H16" s="34">
        <v>1000</v>
      </c>
      <c r="I16" s="18">
        <f t="shared" si="1"/>
        <v>29069.4</v>
      </c>
      <c r="J16" s="33">
        <v>300</v>
      </c>
      <c r="K16" s="52">
        <f t="shared" si="2"/>
        <v>28769.4</v>
      </c>
      <c r="M16" s="35">
        <v>14163</v>
      </c>
      <c r="N16" s="18">
        <f t="shared" si="3"/>
        <v>14606.400000000001</v>
      </c>
      <c r="O16" s="56">
        <f t="shared" si="4"/>
        <v>0.50770610440259445</v>
      </c>
    </row>
    <row r="17" spans="1:15" x14ac:dyDescent="0.3">
      <c r="A17" s="5">
        <v>22</v>
      </c>
      <c r="B17" s="28">
        <v>40225</v>
      </c>
      <c r="C17" s="61">
        <v>7.0000000000000007E-2</v>
      </c>
      <c r="D17" s="20">
        <f>B17*0.93</f>
        <v>37409.25</v>
      </c>
      <c r="E17" s="34">
        <v>1500</v>
      </c>
      <c r="F17" s="34">
        <v>1200</v>
      </c>
      <c r="G17" s="34">
        <v>3900</v>
      </c>
      <c r="H17" s="34">
        <v>1000</v>
      </c>
      <c r="I17" s="18">
        <f t="shared" si="1"/>
        <v>29809.25</v>
      </c>
      <c r="J17" s="33">
        <v>400</v>
      </c>
      <c r="K17" s="52">
        <f t="shared" si="2"/>
        <v>29409.25</v>
      </c>
      <c r="M17" s="35">
        <v>14628</v>
      </c>
      <c r="N17" s="18">
        <f t="shared" si="3"/>
        <v>14781.25</v>
      </c>
      <c r="O17" s="56">
        <f t="shared" si="4"/>
        <v>0.50260547276792167</v>
      </c>
    </row>
    <row r="18" spans="1:15" x14ac:dyDescent="0.3">
      <c r="A18" s="5">
        <v>23</v>
      </c>
      <c r="B18" s="28">
        <v>41330</v>
      </c>
      <c r="C18" s="62"/>
      <c r="D18" s="20">
        <f t="shared" ref="D18:D43" si="6">B18*0.93</f>
        <v>38436.9</v>
      </c>
      <c r="E18" s="34">
        <v>1500</v>
      </c>
      <c r="F18" s="34">
        <v>1200</v>
      </c>
      <c r="G18" s="34">
        <v>3900</v>
      </c>
      <c r="H18" s="34">
        <v>1000</v>
      </c>
      <c r="I18" s="18">
        <f t="shared" si="1"/>
        <v>30836.9</v>
      </c>
      <c r="J18" s="33">
        <v>400</v>
      </c>
      <c r="K18" s="52">
        <f t="shared" si="2"/>
        <v>30436.9</v>
      </c>
      <c r="M18" s="35">
        <v>15154</v>
      </c>
      <c r="N18" s="18">
        <f t="shared" si="3"/>
        <v>15282.900000000001</v>
      </c>
      <c r="O18" s="56">
        <f t="shared" si="4"/>
        <v>0.50211749553995322</v>
      </c>
    </row>
    <row r="19" spans="1:15" x14ac:dyDescent="0.3">
      <c r="A19" s="5">
        <v>24</v>
      </c>
      <c r="B19" s="28">
        <v>42440</v>
      </c>
      <c r="C19" s="62"/>
      <c r="D19" s="20">
        <f t="shared" si="6"/>
        <v>39469.200000000004</v>
      </c>
      <c r="E19" s="34">
        <v>1500</v>
      </c>
      <c r="F19" s="34">
        <v>1200</v>
      </c>
      <c r="G19" s="34">
        <v>3900</v>
      </c>
      <c r="H19" s="34">
        <v>1000</v>
      </c>
      <c r="I19" s="18">
        <f t="shared" si="1"/>
        <v>31869.200000000004</v>
      </c>
      <c r="J19" s="33">
        <v>400</v>
      </c>
      <c r="K19" s="52">
        <f t="shared" si="2"/>
        <v>31469.200000000004</v>
      </c>
      <c r="M19" s="35">
        <v>15619</v>
      </c>
      <c r="N19" s="18">
        <f t="shared" si="3"/>
        <v>15850.200000000004</v>
      </c>
      <c r="O19" s="56">
        <f t="shared" si="4"/>
        <v>0.50367343307106638</v>
      </c>
    </row>
    <row r="20" spans="1:15" x14ac:dyDescent="0.3">
      <c r="A20" s="5">
        <v>25</v>
      </c>
      <c r="B20" s="28">
        <v>43525</v>
      </c>
      <c r="C20" s="62"/>
      <c r="D20" s="20">
        <f t="shared" si="6"/>
        <v>40478.25</v>
      </c>
      <c r="E20" s="34">
        <v>1500</v>
      </c>
      <c r="F20" s="34">
        <v>1500</v>
      </c>
      <c r="G20" s="34">
        <v>3900</v>
      </c>
      <c r="H20" s="34">
        <v>1000</v>
      </c>
      <c r="I20" s="18">
        <f t="shared" si="1"/>
        <v>32578.25</v>
      </c>
      <c r="J20" s="33">
        <v>400</v>
      </c>
      <c r="K20" s="52">
        <f t="shared" si="2"/>
        <v>32178.25</v>
      </c>
      <c r="M20" s="35">
        <v>16084</v>
      </c>
      <c r="N20" s="18">
        <f t="shared" si="3"/>
        <v>16094.25</v>
      </c>
      <c r="O20" s="56">
        <f t="shared" si="4"/>
        <v>0.50015926907150021</v>
      </c>
    </row>
    <row r="21" spans="1:15" x14ac:dyDescent="0.3">
      <c r="A21" s="5">
        <v>26</v>
      </c>
      <c r="B21" s="28">
        <v>44810</v>
      </c>
      <c r="C21" s="62"/>
      <c r="D21" s="20">
        <f t="shared" si="6"/>
        <v>41673.300000000003</v>
      </c>
      <c r="E21" s="34">
        <v>2000</v>
      </c>
      <c r="F21" s="34">
        <v>1500</v>
      </c>
      <c r="G21" s="34">
        <v>3900</v>
      </c>
      <c r="H21" s="34">
        <v>1000</v>
      </c>
      <c r="I21" s="18">
        <f t="shared" si="1"/>
        <v>33273.300000000003</v>
      </c>
      <c r="J21" s="33">
        <v>400</v>
      </c>
      <c r="K21" s="52">
        <f t="shared" si="2"/>
        <v>32873.300000000003</v>
      </c>
      <c r="M21" s="35">
        <v>16549</v>
      </c>
      <c r="N21" s="18">
        <f t="shared" si="3"/>
        <v>16324.300000000003</v>
      </c>
      <c r="O21" s="56">
        <f t="shared" si="4"/>
        <v>0.4965823327746226</v>
      </c>
    </row>
    <row r="22" spans="1:15" x14ac:dyDescent="0.3">
      <c r="A22" s="5">
        <v>27</v>
      </c>
      <c r="B22" s="28">
        <v>45900</v>
      </c>
      <c r="C22" s="62"/>
      <c r="D22" s="20">
        <f t="shared" si="6"/>
        <v>42687</v>
      </c>
      <c r="E22" s="34">
        <v>2000</v>
      </c>
      <c r="F22" s="34">
        <v>1500</v>
      </c>
      <c r="G22" s="34">
        <v>3900</v>
      </c>
      <c r="H22" s="34">
        <v>1000</v>
      </c>
      <c r="I22" s="18">
        <f t="shared" si="1"/>
        <v>34287</v>
      </c>
      <c r="J22" s="33">
        <v>400</v>
      </c>
      <c r="K22" s="52">
        <f t="shared" si="2"/>
        <v>33887</v>
      </c>
      <c r="M22" s="35">
        <v>17014</v>
      </c>
      <c r="N22" s="18">
        <f t="shared" si="3"/>
        <v>16873</v>
      </c>
      <c r="O22" s="56">
        <f t="shared" si="4"/>
        <v>0.49791955617198336</v>
      </c>
    </row>
    <row r="23" spans="1:15" x14ac:dyDescent="0.3">
      <c r="A23" s="5">
        <v>28</v>
      </c>
      <c r="B23" s="28">
        <v>47000</v>
      </c>
      <c r="C23" s="62"/>
      <c r="D23" s="20">
        <f t="shared" si="6"/>
        <v>43710</v>
      </c>
      <c r="E23" s="34">
        <v>2000</v>
      </c>
      <c r="F23" s="34">
        <v>1500</v>
      </c>
      <c r="G23" s="34">
        <v>3900</v>
      </c>
      <c r="H23" s="34">
        <v>1000</v>
      </c>
      <c r="I23" s="18">
        <f t="shared" si="1"/>
        <v>35310</v>
      </c>
      <c r="J23" s="33">
        <v>400</v>
      </c>
      <c r="K23" s="52">
        <f t="shared" si="2"/>
        <v>34910</v>
      </c>
      <c r="M23" s="35">
        <v>17662</v>
      </c>
      <c r="N23" s="18">
        <f t="shared" si="3"/>
        <v>17248</v>
      </c>
      <c r="O23" s="56">
        <f t="shared" si="4"/>
        <v>0.49407046691492407</v>
      </c>
    </row>
    <row r="24" spans="1:15" x14ac:dyDescent="0.3">
      <c r="A24" s="5">
        <v>29</v>
      </c>
      <c r="B24" s="28">
        <v>48140</v>
      </c>
      <c r="C24" s="62"/>
      <c r="D24" s="20">
        <f t="shared" si="6"/>
        <v>44770.200000000004</v>
      </c>
      <c r="E24" s="34">
        <v>2000</v>
      </c>
      <c r="F24" s="34">
        <v>1500</v>
      </c>
      <c r="G24" s="34">
        <v>3900</v>
      </c>
      <c r="H24" s="34">
        <v>1000</v>
      </c>
      <c r="I24" s="18">
        <f t="shared" si="1"/>
        <v>36370.200000000004</v>
      </c>
      <c r="J24" s="33">
        <v>400</v>
      </c>
      <c r="K24" s="52">
        <f t="shared" si="2"/>
        <v>35970.200000000004</v>
      </c>
      <c r="M24" s="35">
        <v>18427</v>
      </c>
      <c r="N24" s="18">
        <f t="shared" si="3"/>
        <v>17543.200000000004</v>
      </c>
      <c r="O24" s="56">
        <f t="shared" si="4"/>
        <v>0.4877148306097826</v>
      </c>
    </row>
    <row r="25" spans="1:15" x14ac:dyDescent="0.3">
      <c r="A25" s="5">
        <v>30</v>
      </c>
      <c r="B25" s="28">
        <v>49230</v>
      </c>
      <c r="C25" s="62"/>
      <c r="D25" s="20">
        <f t="shared" si="6"/>
        <v>45783.9</v>
      </c>
      <c r="E25" s="34">
        <v>2000</v>
      </c>
      <c r="F25" s="34">
        <v>1500</v>
      </c>
      <c r="G25" s="34">
        <v>3900</v>
      </c>
      <c r="H25" s="34">
        <v>1000</v>
      </c>
      <c r="I25" s="18">
        <f t="shared" si="1"/>
        <v>37383.9</v>
      </c>
      <c r="J25" s="33">
        <v>400</v>
      </c>
      <c r="K25" s="52">
        <f t="shared" si="2"/>
        <v>36983.9</v>
      </c>
      <c r="M25" s="35">
        <v>18892</v>
      </c>
      <c r="N25" s="18">
        <f t="shared" si="3"/>
        <v>18091.900000000001</v>
      </c>
      <c r="O25" s="56">
        <f t="shared" si="4"/>
        <v>0.4891831310381004</v>
      </c>
    </row>
    <row r="26" spans="1:15" x14ac:dyDescent="0.3">
      <c r="A26" s="5">
        <v>31</v>
      </c>
      <c r="B26" s="28">
        <v>51260</v>
      </c>
      <c r="C26" s="62"/>
      <c r="D26" s="20">
        <f t="shared" si="6"/>
        <v>47671.8</v>
      </c>
      <c r="E26" s="34">
        <v>2500</v>
      </c>
      <c r="F26" s="34">
        <v>1500</v>
      </c>
      <c r="G26" s="34">
        <v>3900</v>
      </c>
      <c r="H26" s="34">
        <v>1000</v>
      </c>
      <c r="I26" s="18">
        <f t="shared" si="1"/>
        <v>38771.800000000003</v>
      </c>
      <c r="J26" s="33">
        <v>400</v>
      </c>
      <c r="K26" s="52">
        <f t="shared" si="2"/>
        <v>38371.800000000003</v>
      </c>
      <c r="M26" s="35">
        <v>19357</v>
      </c>
      <c r="N26" s="18">
        <f t="shared" si="3"/>
        <v>19014.800000000003</v>
      </c>
      <c r="O26" s="56">
        <f t="shared" si="4"/>
        <v>0.49554099625245629</v>
      </c>
    </row>
    <row r="27" spans="1:15" x14ac:dyDescent="0.3">
      <c r="A27" s="5">
        <v>32</v>
      </c>
      <c r="B27" s="28">
        <v>52850</v>
      </c>
      <c r="C27" s="62"/>
      <c r="D27" s="20">
        <f t="shared" si="6"/>
        <v>49150.5</v>
      </c>
      <c r="E27" s="34">
        <v>2500</v>
      </c>
      <c r="F27" s="34">
        <v>1500</v>
      </c>
      <c r="G27" s="34">
        <v>3900</v>
      </c>
      <c r="H27" s="34">
        <v>1000</v>
      </c>
      <c r="I27" s="18">
        <f t="shared" si="1"/>
        <v>40250.5</v>
      </c>
      <c r="J27" s="33">
        <v>400</v>
      </c>
      <c r="K27" s="52">
        <f t="shared" si="2"/>
        <v>39850.5</v>
      </c>
      <c r="M27" s="35">
        <v>19822</v>
      </c>
      <c r="N27" s="18">
        <f t="shared" si="3"/>
        <v>20028.5</v>
      </c>
      <c r="O27" s="56">
        <f t="shared" si="4"/>
        <v>0.50259093361438378</v>
      </c>
    </row>
    <row r="28" spans="1:15" x14ac:dyDescent="0.3">
      <c r="A28" s="5">
        <v>33</v>
      </c>
      <c r="B28" s="28">
        <v>53950</v>
      </c>
      <c r="C28" s="62"/>
      <c r="D28" s="20">
        <f t="shared" si="6"/>
        <v>50173.5</v>
      </c>
      <c r="E28" s="34">
        <v>2500</v>
      </c>
      <c r="F28" s="34">
        <v>1500</v>
      </c>
      <c r="G28" s="34">
        <v>3900</v>
      </c>
      <c r="H28" s="34">
        <v>1000</v>
      </c>
      <c r="I28" s="18">
        <f t="shared" si="1"/>
        <v>41273.5</v>
      </c>
      <c r="J28" s="33">
        <v>500</v>
      </c>
      <c r="K28" s="52">
        <f t="shared" si="2"/>
        <v>40773.5</v>
      </c>
      <c r="M28" s="35">
        <v>20287</v>
      </c>
      <c r="N28" s="18">
        <f t="shared" si="3"/>
        <v>20486.5</v>
      </c>
      <c r="O28" s="56">
        <f t="shared" si="4"/>
        <v>0.50244644192919419</v>
      </c>
    </row>
    <row r="29" spans="1:15" s="50" customFormat="1" x14ac:dyDescent="0.3">
      <c r="A29" s="46">
        <v>34</v>
      </c>
      <c r="B29" s="28">
        <v>55080</v>
      </c>
      <c r="C29" s="62"/>
      <c r="D29" s="18">
        <f t="shared" si="6"/>
        <v>51224.4</v>
      </c>
      <c r="E29" s="47">
        <v>2500</v>
      </c>
      <c r="F29" s="47">
        <v>1500</v>
      </c>
      <c r="G29" s="34">
        <v>3900</v>
      </c>
      <c r="H29" s="47">
        <v>1000</v>
      </c>
      <c r="I29" s="18">
        <f t="shared" si="1"/>
        <v>42324.4</v>
      </c>
      <c r="J29" s="48">
        <v>500</v>
      </c>
      <c r="K29" s="52">
        <f t="shared" si="2"/>
        <v>41824.400000000001</v>
      </c>
      <c r="L29" s="49"/>
      <c r="M29" s="35">
        <v>20752</v>
      </c>
      <c r="N29" s="18">
        <f t="shared" si="3"/>
        <v>21072.400000000001</v>
      </c>
      <c r="O29" s="56">
        <f t="shared" si="4"/>
        <v>0.5038303000162585</v>
      </c>
    </row>
    <row r="30" spans="1:15" x14ac:dyDescent="0.3">
      <c r="A30" s="5">
        <v>35</v>
      </c>
      <c r="B30" s="28">
        <v>56180</v>
      </c>
      <c r="C30" s="62"/>
      <c r="D30" s="20">
        <f t="shared" si="6"/>
        <v>52247.4</v>
      </c>
      <c r="E30" s="34">
        <v>2500</v>
      </c>
      <c r="F30" s="34">
        <v>1500</v>
      </c>
      <c r="G30" s="34">
        <v>3900</v>
      </c>
      <c r="H30" s="34">
        <v>1000</v>
      </c>
      <c r="I30" s="18">
        <f t="shared" si="1"/>
        <v>43347.4</v>
      </c>
      <c r="J30" s="33">
        <v>500</v>
      </c>
      <c r="K30" s="52">
        <f t="shared" si="2"/>
        <v>42847.4</v>
      </c>
      <c r="M30" s="35">
        <v>21312</v>
      </c>
      <c r="N30" s="18">
        <f t="shared" si="3"/>
        <v>21535.4</v>
      </c>
      <c r="O30" s="56">
        <f t="shared" si="4"/>
        <v>0.50260692597450485</v>
      </c>
    </row>
    <row r="31" spans="1:15" x14ac:dyDescent="0.3">
      <c r="A31" s="5">
        <v>36</v>
      </c>
      <c r="B31" s="28">
        <v>57590</v>
      </c>
      <c r="C31" s="62"/>
      <c r="D31" s="20">
        <f t="shared" si="6"/>
        <v>53558.700000000004</v>
      </c>
      <c r="E31" s="34">
        <v>2500</v>
      </c>
      <c r="F31" s="34">
        <v>1500</v>
      </c>
      <c r="G31" s="34">
        <v>3900</v>
      </c>
      <c r="H31" s="34">
        <v>1000</v>
      </c>
      <c r="I31" s="18">
        <f t="shared" si="1"/>
        <v>44658.700000000004</v>
      </c>
      <c r="J31" s="33">
        <v>500</v>
      </c>
      <c r="K31" s="52">
        <f t="shared" si="2"/>
        <v>44158.700000000004</v>
      </c>
      <c r="M31" s="35">
        <v>21777</v>
      </c>
      <c r="N31" s="18">
        <f t="shared" si="3"/>
        <v>22381.700000000004</v>
      </c>
      <c r="O31" s="56">
        <f t="shared" si="4"/>
        <v>0.50684689540226502</v>
      </c>
    </row>
    <row r="32" spans="1:15" x14ac:dyDescent="0.3">
      <c r="A32" s="5">
        <v>37</v>
      </c>
      <c r="B32" s="28">
        <v>58400</v>
      </c>
      <c r="C32" s="62"/>
      <c r="D32" s="20">
        <f t="shared" si="6"/>
        <v>54312</v>
      </c>
      <c r="E32" s="34">
        <v>2500</v>
      </c>
      <c r="F32" s="34">
        <v>1500</v>
      </c>
      <c r="G32" s="34">
        <v>3900</v>
      </c>
      <c r="H32" s="34">
        <v>1000</v>
      </c>
      <c r="I32" s="18">
        <f t="shared" si="1"/>
        <v>45412</v>
      </c>
      <c r="J32" s="33">
        <v>500</v>
      </c>
      <c r="K32" s="52">
        <f t="shared" si="2"/>
        <v>44912</v>
      </c>
      <c r="M32" s="35">
        <v>22242</v>
      </c>
      <c r="N32" s="18">
        <f t="shared" si="3"/>
        <v>22670</v>
      </c>
      <c r="O32" s="56">
        <f t="shared" si="4"/>
        <v>0.50476487353045951</v>
      </c>
    </row>
    <row r="33" spans="1:15" x14ac:dyDescent="0.3">
      <c r="A33" s="5">
        <v>38</v>
      </c>
      <c r="B33" s="28">
        <v>59505</v>
      </c>
      <c r="C33" s="62"/>
      <c r="D33" s="20">
        <f t="shared" si="6"/>
        <v>55339.65</v>
      </c>
      <c r="E33" s="34">
        <v>2500</v>
      </c>
      <c r="F33" s="34">
        <v>1500</v>
      </c>
      <c r="G33" s="34">
        <v>3900</v>
      </c>
      <c r="H33" s="34">
        <v>1000</v>
      </c>
      <c r="I33" s="18">
        <f t="shared" si="1"/>
        <v>46439.65</v>
      </c>
      <c r="J33" s="33">
        <v>500</v>
      </c>
      <c r="K33" s="52">
        <f t="shared" si="2"/>
        <v>45939.65</v>
      </c>
      <c r="M33" s="35">
        <v>22707</v>
      </c>
      <c r="N33" s="18">
        <f t="shared" si="3"/>
        <v>23232.65</v>
      </c>
      <c r="O33" s="56">
        <f t="shared" si="4"/>
        <v>0.5057210927815079</v>
      </c>
    </row>
    <row r="34" spans="1:15" x14ac:dyDescent="0.3">
      <c r="A34" s="5">
        <v>39</v>
      </c>
      <c r="B34" s="28">
        <v>61000</v>
      </c>
      <c r="C34" s="62"/>
      <c r="D34" s="20">
        <f t="shared" si="6"/>
        <v>56730</v>
      </c>
      <c r="E34" s="34">
        <v>2500</v>
      </c>
      <c r="F34" s="34">
        <v>1500</v>
      </c>
      <c r="G34" s="34">
        <v>3900</v>
      </c>
      <c r="H34" s="34">
        <v>1000</v>
      </c>
      <c r="I34" s="18">
        <f t="shared" si="1"/>
        <v>47830</v>
      </c>
      <c r="J34" s="33">
        <v>500</v>
      </c>
      <c r="K34" s="52">
        <f t="shared" si="2"/>
        <v>47330</v>
      </c>
      <c r="M34" s="35">
        <v>23172</v>
      </c>
      <c r="N34" s="18">
        <f t="shared" si="3"/>
        <v>24158</v>
      </c>
      <c r="O34" s="56">
        <f t="shared" si="4"/>
        <v>0.51041622649482354</v>
      </c>
    </row>
    <row r="35" spans="1:15" x14ac:dyDescent="0.3">
      <c r="A35" s="5">
        <v>40</v>
      </c>
      <c r="B35" s="28">
        <v>62110</v>
      </c>
      <c r="C35" s="62"/>
      <c r="D35" s="20">
        <f t="shared" si="6"/>
        <v>57762.3</v>
      </c>
      <c r="E35" s="34">
        <v>2500</v>
      </c>
      <c r="F35" s="34">
        <v>1500</v>
      </c>
      <c r="G35" s="34">
        <v>3900</v>
      </c>
      <c r="H35" s="34">
        <v>1000</v>
      </c>
      <c r="I35" s="18">
        <f t="shared" si="1"/>
        <v>48862.3</v>
      </c>
      <c r="J35" s="33">
        <v>500</v>
      </c>
      <c r="K35" s="52">
        <f t="shared" si="2"/>
        <v>48362.3</v>
      </c>
      <c r="M35" s="35">
        <v>23637</v>
      </c>
      <c r="N35" s="18">
        <f t="shared" si="3"/>
        <v>24725.300000000003</v>
      </c>
      <c r="O35" s="56">
        <f t="shared" si="4"/>
        <v>0.51125153270212542</v>
      </c>
    </row>
    <row r="36" spans="1:15" x14ac:dyDescent="0.3">
      <c r="A36" s="5">
        <v>41</v>
      </c>
      <c r="B36" s="28">
        <v>63225</v>
      </c>
      <c r="C36" s="62"/>
      <c r="D36" s="20">
        <f t="shared" si="6"/>
        <v>58799.25</v>
      </c>
      <c r="E36" s="34">
        <v>2500</v>
      </c>
      <c r="F36" s="34">
        <v>1500</v>
      </c>
      <c r="G36" s="34">
        <v>3900</v>
      </c>
      <c r="H36" s="34">
        <v>1000</v>
      </c>
      <c r="I36" s="18">
        <f t="shared" si="1"/>
        <v>49899.25</v>
      </c>
      <c r="J36" s="33">
        <v>500</v>
      </c>
      <c r="K36" s="52">
        <f t="shared" si="2"/>
        <v>49399.25</v>
      </c>
      <c r="M36" s="35">
        <v>24102</v>
      </c>
      <c r="N36" s="18">
        <f t="shared" si="3"/>
        <v>25297.25</v>
      </c>
      <c r="O36" s="56">
        <f t="shared" si="4"/>
        <v>0.51209785573667621</v>
      </c>
    </row>
    <row r="37" spans="1:15" x14ac:dyDescent="0.3">
      <c r="A37" s="5">
        <v>42</v>
      </c>
      <c r="B37" s="28">
        <v>64325</v>
      </c>
      <c r="C37" s="62"/>
      <c r="D37" s="20">
        <f t="shared" si="6"/>
        <v>59822.25</v>
      </c>
      <c r="E37" s="34">
        <v>2500</v>
      </c>
      <c r="F37" s="34">
        <v>1500</v>
      </c>
      <c r="G37" s="34">
        <v>3900</v>
      </c>
      <c r="H37" s="34">
        <v>1000</v>
      </c>
      <c r="I37" s="18">
        <f t="shared" si="1"/>
        <v>50922.25</v>
      </c>
      <c r="J37" s="33">
        <v>500</v>
      </c>
      <c r="K37" s="52">
        <f t="shared" si="2"/>
        <v>50422.25</v>
      </c>
      <c r="M37" s="35">
        <v>24567</v>
      </c>
      <c r="N37" s="18">
        <f t="shared" si="3"/>
        <v>25855.25</v>
      </c>
      <c r="O37" s="56">
        <f t="shared" si="4"/>
        <v>0.51277461834805071</v>
      </c>
    </row>
    <row r="38" spans="1:15" x14ac:dyDescent="0.3">
      <c r="A38" s="5">
        <v>43</v>
      </c>
      <c r="B38" s="28">
        <v>65430</v>
      </c>
      <c r="C38" s="62"/>
      <c r="D38" s="20">
        <f t="shared" si="6"/>
        <v>60849.9</v>
      </c>
      <c r="E38" s="34">
        <v>2500</v>
      </c>
      <c r="F38" s="34">
        <v>1500</v>
      </c>
      <c r="G38" s="34">
        <v>3900</v>
      </c>
      <c r="H38" s="34">
        <v>1000</v>
      </c>
      <c r="I38" s="18">
        <f t="shared" si="1"/>
        <v>51949.9</v>
      </c>
      <c r="J38" s="33">
        <v>500</v>
      </c>
      <c r="K38" s="52">
        <f t="shared" si="2"/>
        <v>51449.9</v>
      </c>
      <c r="M38" s="35">
        <v>25032</v>
      </c>
      <c r="N38" s="18">
        <f t="shared" si="3"/>
        <v>26417.9</v>
      </c>
      <c r="O38" s="56">
        <f t="shared" si="4"/>
        <v>0.51346844211553377</v>
      </c>
    </row>
    <row r="39" spans="1:15" x14ac:dyDescent="0.3">
      <c r="A39" s="5">
        <v>44</v>
      </c>
      <c r="B39" s="28">
        <v>66550</v>
      </c>
      <c r="C39" s="62"/>
      <c r="D39" s="20">
        <f t="shared" si="6"/>
        <v>61891.5</v>
      </c>
      <c r="E39" s="34">
        <v>2500</v>
      </c>
      <c r="F39" s="34">
        <v>1500</v>
      </c>
      <c r="G39" s="34">
        <v>3900</v>
      </c>
      <c r="H39" s="34">
        <v>1000</v>
      </c>
      <c r="I39" s="18">
        <f t="shared" si="1"/>
        <v>52991.5</v>
      </c>
      <c r="J39" s="33">
        <v>500</v>
      </c>
      <c r="K39" s="52">
        <f t="shared" si="2"/>
        <v>52491.5</v>
      </c>
      <c r="M39" s="35">
        <v>25497</v>
      </c>
      <c r="N39" s="18">
        <f t="shared" si="3"/>
        <v>26994.5</v>
      </c>
      <c r="O39" s="56">
        <f t="shared" si="4"/>
        <v>0.51426421420610957</v>
      </c>
    </row>
    <row r="40" spans="1:15" x14ac:dyDescent="0.3">
      <c r="A40" s="5">
        <v>45</v>
      </c>
      <c r="B40" s="28">
        <v>67650</v>
      </c>
      <c r="C40" s="62"/>
      <c r="D40" s="20">
        <f t="shared" si="6"/>
        <v>62914.5</v>
      </c>
      <c r="E40" s="34">
        <v>2500</v>
      </c>
      <c r="F40" s="34">
        <v>1500</v>
      </c>
      <c r="G40" s="34">
        <v>3900</v>
      </c>
      <c r="H40" s="34">
        <v>1000</v>
      </c>
      <c r="I40" s="18">
        <f t="shared" si="1"/>
        <v>54014.5</v>
      </c>
      <c r="J40" s="33">
        <v>500</v>
      </c>
      <c r="K40" s="52">
        <f t="shared" si="2"/>
        <v>53514.5</v>
      </c>
      <c r="M40" s="35">
        <v>25962</v>
      </c>
      <c r="N40" s="18">
        <f t="shared" si="3"/>
        <v>27552.5</v>
      </c>
      <c r="O40" s="56">
        <f t="shared" si="4"/>
        <v>0.51486045838043892</v>
      </c>
    </row>
    <row r="41" spans="1:15" x14ac:dyDescent="0.3">
      <c r="A41" s="5">
        <v>46</v>
      </c>
      <c r="B41" s="28">
        <v>68755</v>
      </c>
      <c r="C41" s="62"/>
      <c r="D41" s="20">
        <f t="shared" si="6"/>
        <v>63942.15</v>
      </c>
      <c r="E41" s="34">
        <v>2500</v>
      </c>
      <c r="F41" s="34">
        <v>1500</v>
      </c>
      <c r="G41" s="34">
        <v>3900</v>
      </c>
      <c r="H41" s="34">
        <v>1000</v>
      </c>
      <c r="I41" s="18">
        <f t="shared" si="1"/>
        <v>55042.15</v>
      </c>
      <c r="J41" s="33">
        <v>500</v>
      </c>
      <c r="K41" s="52">
        <f t="shared" si="2"/>
        <v>54542.15</v>
      </c>
      <c r="M41" s="35">
        <v>26843</v>
      </c>
      <c r="N41" s="18">
        <f t="shared" si="3"/>
        <v>27699.15</v>
      </c>
      <c r="O41" s="56">
        <f t="shared" si="4"/>
        <v>0.50784851715599766</v>
      </c>
    </row>
    <row r="42" spans="1:15" x14ac:dyDescent="0.3">
      <c r="A42" s="5">
        <v>47</v>
      </c>
      <c r="B42" s="28">
        <v>69870</v>
      </c>
      <c r="C42" s="62"/>
      <c r="D42" s="20">
        <f t="shared" si="6"/>
        <v>64979.100000000006</v>
      </c>
      <c r="E42" s="34">
        <v>2500</v>
      </c>
      <c r="F42" s="34">
        <v>1500</v>
      </c>
      <c r="G42" s="34">
        <v>3900</v>
      </c>
      <c r="H42" s="34">
        <v>1000</v>
      </c>
      <c r="I42" s="18">
        <f t="shared" si="1"/>
        <v>56079.100000000006</v>
      </c>
      <c r="J42" s="33">
        <v>500</v>
      </c>
      <c r="K42" s="52">
        <f t="shared" si="2"/>
        <v>55579.100000000006</v>
      </c>
      <c r="M42" s="35">
        <v>27308</v>
      </c>
      <c r="N42" s="18">
        <f t="shared" si="3"/>
        <v>28271.100000000006</v>
      </c>
      <c r="O42" s="56">
        <f t="shared" si="4"/>
        <v>0.50866422810013123</v>
      </c>
    </row>
    <row r="43" spans="1:15" x14ac:dyDescent="0.3">
      <c r="A43" s="5">
        <v>48</v>
      </c>
      <c r="B43" s="28">
        <v>70980</v>
      </c>
      <c r="C43" s="62"/>
      <c r="D43" s="20">
        <f t="shared" si="6"/>
        <v>66011.400000000009</v>
      </c>
      <c r="E43" s="34">
        <v>2500</v>
      </c>
      <c r="F43" s="34">
        <v>1500</v>
      </c>
      <c r="G43" s="34">
        <v>3900</v>
      </c>
      <c r="H43" s="34">
        <v>1000</v>
      </c>
      <c r="I43" s="18">
        <f t="shared" si="1"/>
        <v>57111.400000000009</v>
      </c>
      <c r="J43" s="33">
        <v>500</v>
      </c>
      <c r="K43" s="52">
        <f t="shared" si="2"/>
        <v>56611.400000000009</v>
      </c>
      <c r="M43" s="35">
        <v>27773</v>
      </c>
      <c r="N43" s="18">
        <f t="shared" si="3"/>
        <v>28838.400000000009</v>
      </c>
      <c r="O43" s="56">
        <f t="shared" si="4"/>
        <v>0.50940976552425843</v>
      </c>
    </row>
    <row r="45" spans="1:15" x14ac:dyDescent="0.3">
      <c r="B45" s="31"/>
    </row>
  </sheetData>
  <mergeCells count="5">
    <mergeCell ref="M1:O1"/>
    <mergeCell ref="C3:C10"/>
    <mergeCell ref="C11:C16"/>
    <mergeCell ref="C17:C43"/>
    <mergeCell ref="A1:K1"/>
  </mergeCells>
  <pageMargins left="0.7" right="0.7" top="0.75" bottom="0.75" header="0.3" footer="0.3"/>
  <pageSetup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04DC4-BBD4-4D3A-8515-7CC914684BA6}">
  <dimension ref="A1:Y41"/>
  <sheetViews>
    <sheetView workbookViewId="0">
      <selection activeCell="A2" sqref="A2"/>
    </sheetView>
  </sheetViews>
  <sheetFormatPr defaultRowHeight="14.4" x14ac:dyDescent="0.3"/>
  <cols>
    <col min="1" max="1" width="11.5546875" customWidth="1"/>
    <col min="2" max="2" width="12.6640625" customWidth="1"/>
    <col min="4" max="4" width="14.109375" customWidth="1"/>
    <col min="5" max="8" width="12.5546875" customWidth="1"/>
    <col min="9" max="9" width="15.6640625" customWidth="1"/>
    <col min="10" max="10" width="12.5546875" customWidth="1"/>
    <col min="11" max="11" width="14.88671875" customWidth="1"/>
    <col min="15" max="15" width="10.88671875" customWidth="1"/>
    <col min="16" max="16" width="9" customWidth="1"/>
    <col min="17" max="17" width="12.5546875" customWidth="1"/>
    <col min="18" max="18" width="11.33203125" customWidth="1"/>
    <col min="19" max="19" width="12.5546875" customWidth="1"/>
    <col min="20" max="20" width="12.88671875" customWidth="1"/>
    <col min="21" max="21" width="15.33203125" customWidth="1"/>
    <col min="22" max="22" width="12.88671875" customWidth="1"/>
    <col min="23" max="23" width="13.5546875" bestFit="1" customWidth="1"/>
    <col min="24" max="24" width="10.88671875" bestFit="1" customWidth="1"/>
    <col min="25" max="25" width="13.5546875" bestFit="1" customWidth="1"/>
  </cols>
  <sheetData>
    <row r="1" spans="1:25" ht="25.8" x14ac:dyDescent="0.5">
      <c r="A1" s="60" t="s">
        <v>29</v>
      </c>
      <c r="B1" s="60"/>
      <c r="C1" s="60"/>
      <c r="D1" s="60"/>
      <c r="E1" s="60"/>
      <c r="F1" s="60"/>
      <c r="G1" s="60"/>
      <c r="H1" s="60"/>
      <c r="I1" s="60"/>
      <c r="J1" s="60"/>
      <c r="K1" s="60"/>
      <c r="O1" s="60" t="s">
        <v>30</v>
      </c>
      <c r="P1" s="60"/>
      <c r="Q1" s="60"/>
      <c r="R1" s="60"/>
      <c r="S1" s="60"/>
      <c r="T1" s="60"/>
      <c r="U1" s="60"/>
      <c r="V1" s="60"/>
      <c r="W1" s="60"/>
      <c r="X1" s="60"/>
      <c r="Y1" s="60"/>
    </row>
    <row r="2" spans="1:25" ht="100.8" x14ac:dyDescent="0.3">
      <c r="A2" s="17" t="s">
        <v>21</v>
      </c>
      <c r="B2" s="27" t="s">
        <v>22</v>
      </c>
      <c r="C2" s="17" t="s">
        <v>2</v>
      </c>
      <c r="D2" s="17" t="s">
        <v>3</v>
      </c>
      <c r="E2" s="17" t="s">
        <v>23</v>
      </c>
      <c r="F2" s="17" t="s">
        <v>25</v>
      </c>
      <c r="G2" s="17" t="s">
        <v>5</v>
      </c>
      <c r="H2" s="17" t="s">
        <v>4</v>
      </c>
      <c r="I2" s="32" t="s">
        <v>8</v>
      </c>
      <c r="J2" s="17" t="s">
        <v>9</v>
      </c>
      <c r="K2" s="51" t="s">
        <v>10</v>
      </c>
      <c r="O2" s="17" t="s">
        <v>21</v>
      </c>
      <c r="P2" s="27" t="s">
        <v>22</v>
      </c>
      <c r="Q2" s="17" t="s">
        <v>2</v>
      </c>
      <c r="R2" s="17" t="s">
        <v>3</v>
      </c>
      <c r="S2" s="17" t="s">
        <v>23</v>
      </c>
      <c r="T2" s="17" t="s">
        <v>25</v>
      </c>
      <c r="U2" s="17" t="s">
        <v>5</v>
      </c>
      <c r="V2" s="17" t="s">
        <v>4</v>
      </c>
      <c r="W2" s="32" t="s">
        <v>8</v>
      </c>
      <c r="X2" s="17" t="s">
        <v>9</v>
      </c>
      <c r="Y2" s="51" t="s">
        <v>10</v>
      </c>
    </row>
    <row r="3" spans="1:25" x14ac:dyDescent="0.3">
      <c r="A3" s="5">
        <v>10</v>
      </c>
      <c r="B3" s="58">
        <v>22070</v>
      </c>
      <c r="C3" s="61">
        <v>0.05</v>
      </c>
      <c r="D3" s="20">
        <f>B3*0.95</f>
        <v>20966.5</v>
      </c>
      <c r="E3" s="33"/>
      <c r="F3" s="33"/>
      <c r="G3" s="34">
        <v>2000</v>
      </c>
      <c r="H3" s="34">
        <v>600</v>
      </c>
      <c r="I3" s="18">
        <f t="shared" ref="I3:I41" si="0">D3-E3-F3-G3-H3</f>
        <v>18366.5</v>
      </c>
      <c r="J3" s="33">
        <v>200</v>
      </c>
      <c r="K3" s="52">
        <f t="shared" ref="K3:K41" si="1">I3-J3</f>
        <v>18166.5</v>
      </c>
      <c r="O3" s="5">
        <v>8</v>
      </c>
      <c r="P3" s="28">
        <v>19100</v>
      </c>
      <c r="Q3" s="61">
        <v>0.05</v>
      </c>
      <c r="R3" s="10">
        <f>P3*0.95</f>
        <v>18145</v>
      </c>
      <c r="S3" s="8"/>
      <c r="T3" s="8"/>
      <c r="U3" s="34">
        <v>2000</v>
      </c>
      <c r="V3" s="42">
        <v>600</v>
      </c>
      <c r="W3" s="18">
        <f>R3-S3-T3-U3-V3</f>
        <v>15545</v>
      </c>
      <c r="X3" s="34">
        <v>200</v>
      </c>
      <c r="Y3" s="59">
        <f>W3-X3</f>
        <v>15345</v>
      </c>
    </row>
    <row r="4" spans="1:25" x14ac:dyDescent="0.3">
      <c r="A4" s="39">
        <v>11</v>
      </c>
      <c r="B4" s="58">
        <v>24850</v>
      </c>
      <c r="C4" s="62"/>
      <c r="D4" s="20">
        <f t="shared" ref="D4:D8" si="2">B4*0.95</f>
        <v>23607.5</v>
      </c>
      <c r="E4" s="42">
        <v>1000</v>
      </c>
      <c r="F4" s="42">
        <v>600</v>
      </c>
      <c r="G4" s="34">
        <v>2000</v>
      </c>
      <c r="H4" s="42">
        <v>600</v>
      </c>
      <c r="I4" s="18">
        <f t="shared" si="0"/>
        <v>19407.5</v>
      </c>
      <c r="J4" s="43">
        <v>200</v>
      </c>
      <c r="K4" s="52">
        <f t="shared" si="1"/>
        <v>19207.5</v>
      </c>
      <c r="O4" s="5">
        <v>9</v>
      </c>
      <c r="P4" s="28">
        <v>20210</v>
      </c>
      <c r="Q4" s="61"/>
      <c r="R4" s="10">
        <f t="shared" ref="R4:R10" si="3">P4*0.95</f>
        <v>19199.5</v>
      </c>
      <c r="S4" s="8"/>
      <c r="T4" s="8"/>
      <c r="U4" s="34">
        <v>2000</v>
      </c>
      <c r="V4" s="42">
        <v>600</v>
      </c>
      <c r="W4" s="18">
        <f t="shared" ref="W4:W13" si="4">R4-S4-T4-U4-V4</f>
        <v>16599.5</v>
      </c>
      <c r="X4" s="34">
        <v>200</v>
      </c>
      <c r="Y4" s="59">
        <f t="shared" ref="Y4:Y13" si="5">W4-X4</f>
        <v>16399.5</v>
      </c>
    </row>
    <row r="5" spans="1:25" x14ac:dyDescent="0.3">
      <c r="A5" s="6">
        <v>12</v>
      </c>
      <c r="B5" s="58">
        <v>25975</v>
      </c>
      <c r="C5" s="62"/>
      <c r="D5" s="20">
        <f t="shared" si="2"/>
        <v>24676.25</v>
      </c>
      <c r="E5" s="36">
        <v>1000</v>
      </c>
      <c r="F5" s="36">
        <v>600</v>
      </c>
      <c r="G5" s="34">
        <v>2000</v>
      </c>
      <c r="H5" s="36">
        <v>600</v>
      </c>
      <c r="I5" s="18">
        <f t="shared" si="0"/>
        <v>20476.25</v>
      </c>
      <c r="J5" s="37">
        <v>200</v>
      </c>
      <c r="K5" s="52">
        <f t="shared" si="1"/>
        <v>20276.25</v>
      </c>
      <c r="O5" s="5">
        <v>10</v>
      </c>
      <c r="P5" s="28">
        <v>21320</v>
      </c>
      <c r="Q5" s="61"/>
      <c r="R5" s="10">
        <f t="shared" si="3"/>
        <v>20254</v>
      </c>
      <c r="S5" s="8"/>
      <c r="T5" s="8"/>
      <c r="U5" s="34">
        <v>2000</v>
      </c>
      <c r="V5" s="42">
        <v>600</v>
      </c>
      <c r="W5" s="18">
        <f t="shared" si="4"/>
        <v>17654</v>
      </c>
      <c r="X5" s="34">
        <v>200</v>
      </c>
      <c r="Y5" s="59">
        <f t="shared" si="5"/>
        <v>17454</v>
      </c>
    </row>
    <row r="6" spans="1:25" x14ac:dyDescent="0.3">
      <c r="A6" s="5">
        <v>13</v>
      </c>
      <c r="B6" s="58">
        <v>27190</v>
      </c>
      <c r="C6" s="62"/>
      <c r="D6" s="20">
        <f t="shared" si="2"/>
        <v>25830.5</v>
      </c>
      <c r="E6" s="34">
        <v>1000</v>
      </c>
      <c r="F6" s="34">
        <v>600</v>
      </c>
      <c r="G6" s="34">
        <v>2000</v>
      </c>
      <c r="H6" s="34">
        <v>600</v>
      </c>
      <c r="I6" s="18">
        <f t="shared" si="0"/>
        <v>21630.5</v>
      </c>
      <c r="J6" s="33">
        <v>200</v>
      </c>
      <c r="K6" s="52">
        <f t="shared" si="1"/>
        <v>21430.5</v>
      </c>
      <c r="O6" s="39">
        <v>11</v>
      </c>
      <c r="P6" s="40">
        <v>24100</v>
      </c>
      <c r="Q6" s="61"/>
      <c r="R6" s="10">
        <f t="shared" si="3"/>
        <v>22895</v>
      </c>
      <c r="S6" s="42">
        <v>1000</v>
      </c>
      <c r="T6" s="42">
        <v>600</v>
      </c>
      <c r="U6" s="34">
        <v>2000</v>
      </c>
      <c r="V6" s="42">
        <v>600</v>
      </c>
      <c r="W6" s="18">
        <f t="shared" si="4"/>
        <v>18695</v>
      </c>
      <c r="X6" s="34">
        <v>200</v>
      </c>
      <c r="Y6" s="59">
        <f t="shared" si="5"/>
        <v>18495</v>
      </c>
    </row>
    <row r="7" spans="1:25" x14ac:dyDescent="0.3">
      <c r="A7" s="5">
        <v>14</v>
      </c>
      <c r="B7" s="58">
        <v>28680</v>
      </c>
      <c r="C7" s="62"/>
      <c r="D7" s="20">
        <f t="shared" si="2"/>
        <v>27246</v>
      </c>
      <c r="E7" s="34">
        <v>1000</v>
      </c>
      <c r="F7" s="34">
        <v>600</v>
      </c>
      <c r="G7" s="34">
        <v>2000</v>
      </c>
      <c r="H7" s="34">
        <v>600</v>
      </c>
      <c r="I7" s="18">
        <f t="shared" si="0"/>
        <v>23046</v>
      </c>
      <c r="J7" s="33">
        <v>200</v>
      </c>
      <c r="K7" s="52">
        <f t="shared" si="1"/>
        <v>22846</v>
      </c>
      <c r="O7" s="6">
        <v>12</v>
      </c>
      <c r="P7" s="29">
        <v>25225</v>
      </c>
      <c r="Q7" s="61"/>
      <c r="R7" s="10">
        <f t="shared" si="3"/>
        <v>23963.75</v>
      </c>
      <c r="S7" s="36">
        <v>1000</v>
      </c>
      <c r="T7" s="36">
        <v>600</v>
      </c>
      <c r="U7" s="34">
        <v>2000</v>
      </c>
      <c r="V7" s="36">
        <v>600</v>
      </c>
      <c r="W7" s="18">
        <f t="shared" si="4"/>
        <v>19763.75</v>
      </c>
      <c r="X7" s="34">
        <v>200</v>
      </c>
      <c r="Y7" s="59">
        <f t="shared" si="5"/>
        <v>19563.75</v>
      </c>
    </row>
    <row r="8" spans="1:25" x14ac:dyDescent="0.3">
      <c r="A8" s="5">
        <v>15</v>
      </c>
      <c r="B8" s="58">
        <v>29780</v>
      </c>
      <c r="C8" s="62"/>
      <c r="D8" s="20">
        <f t="shared" si="2"/>
        <v>28291</v>
      </c>
      <c r="E8" s="34">
        <v>1000</v>
      </c>
      <c r="F8" s="34">
        <v>600</v>
      </c>
      <c r="G8" s="34">
        <v>2000</v>
      </c>
      <c r="H8" s="34">
        <v>600</v>
      </c>
      <c r="I8" s="18">
        <f t="shared" si="0"/>
        <v>24091</v>
      </c>
      <c r="J8" s="33">
        <v>200</v>
      </c>
      <c r="K8" s="52">
        <f t="shared" si="1"/>
        <v>23891</v>
      </c>
      <c r="O8" s="5">
        <v>13</v>
      </c>
      <c r="P8" s="28">
        <v>26440</v>
      </c>
      <c r="Q8" s="61"/>
      <c r="R8" s="10">
        <f t="shared" si="3"/>
        <v>25118</v>
      </c>
      <c r="S8" s="34">
        <v>1000</v>
      </c>
      <c r="T8" s="34">
        <v>600</v>
      </c>
      <c r="U8" s="34">
        <v>2000</v>
      </c>
      <c r="V8" s="34">
        <v>600</v>
      </c>
      <c r="W8" s="18">
        <f t="shared" si="4"/>
        <v>20918</v>
      </c>
      <c r="X8" s="34">
        <v>200</v>
      </c>
      <c r="Y8" s="59">
        <f t="shared" si="5"/>
        <v>20718</v>
      </c>
    </row>
    <row r="9" spans="1:25" x14ac:dyDescent="0.3">
      <c r="A9" s="5">
        <v>16</v>
      </c>
      <c r="B9" s="58">
        <v>31590</v>
      </c>
      <c r="C9" s="61">
        <v>0.06</v>
      </c>
      <c r="D9" s="20">
        <f t="shared" ref="D9:D14" si="6">B9*0.94</f>
        <v>29694.6</v>
      </c>
      <c r="E9" s="34">
        <v>1000</v>
      </c>
      <c r="F9" s="34">
        <v>600</v>
      </c>
      <c r="G9" s="34">
        <v>2000</v>
      </c>
      <c r="H9" s="34">
        <v>1000</v>
      </c>
      <c r="I9" s="18">
        <f t="shared" si="0"/>
        <v>25094.6</v>
      </c>
      <c r="J9" s="33">
        <v>300</v>
      </c>
      <c r="K9" s="52">
        <f t="shared" si="1"/>
        <v>24794.6</v>
      </c>
      <c r="O9" s="5">
        <v>14</v>
      </c>
      <c r="P9" s="28">
        <v>28210</v>
      </c>
      <c r="Q9" s="61"/>
      <c r="R9" s="10">
        <f t="shared" si="3"/>
        <v>26799.5</v>
      </c>
      <c r="S9" s="34">
        <v>1000</v>
      </c>
      <c r="T9" s="34">
        <v>600</v>
      </c>
      <c r="U9" s="34">
        <v>2000</v>
      </c>
      <c r="V9" s="34">
        <v>600</v>
      </c>
      <c r="W9" s="18">
        <f t="shared" si="4"/>
        <v>22599.5</v>
      </c>
      <c r="X9" s="34">
        <v>300</v>
      </c>
      <c r="Y9" s="59">
        <f t="shared" si="5"/>
        <v>22299.5</v>
      </c>
    </row>
    <row r="10" spans="1:25" x14ac:dyDescent="0.3">
      <c r="A10" s="5">
        <v>17</v>
      </c>
      <c r="B10" s="58">
        <v>32980</v>
      </c>
      <c r="C10" s="62"/>
      <c r="D10" s="20">
        <f t="shared" si="6"/>
        <v>31001.199999999997</v>
      </c>
      <c r="E10" s="34">
        <v>1000</v>
      </c>
      <c r="F10" s="34">
        <v>600</v>
      </c>
      <c r="G10" s="34">
        <v>2000</v>
      </c>
      <c r="H10" s="34">
        <v>1000</v>
      </c>
      <c r="I10" s="18">
        <f t="shared" si="0"/>
        <v>26401.199999999997</v>
      </c>
      <c r="J10" s="33">
        <v>300</v>
      </c>
      <c r="K10" s="52">
        <f t="shared" si="1"/>
        <v>26101.199999999997</v>
      </c>
      <c r="O10" s="5">
        <v>15</v>
      </c>
      <c r="P10" s="28">
        <v>29310</v>
      </c>
      <c r="Q10" s="61"/>
      <c r="R10" s="10">
        <f t="shared" si="3"/>
        <v>27844.5</v>
      </c>
      <c r="S10" s="34">
        <v>1000</v>
      </c>
      <c r="T10" s="34">
        <v>600</v>
      </c>
      <c r="U10" s="34">
        <v>2000</v>
      </c>
      <c r="V10" s="34">
        <v>600</v>
      </c>
      <c r="W10" s="18">
        <f t="shared" si="4"/>
        <v>23644.5</v>
      </c>
      <c r="X10" s="34">
        <v>300</v>
      </c>
      <c r="Y10" s="59">
        <f t="shared" si="5"/>
        <v>23344.5</v>
      </c>
    </row>
    <row r="11" spans="1:25" x14ac:dyDescent="0.3">
      <c r="A11" s="5">
        <v>18</v>
      </c>
      <c r="B11" s="58">
        <v>34330</v>
      </c>
      <c r="C11" s="62"/>
      <c r="D11" s="20">
        <f t="shared" si="6"/>
        <v>32270.199999999997</v>
      </c>
      <c r="E11" s="34">
        <v>1000</v>
      </c>
      <c r="F11" s="34">
        <v>1200</v>
      </c>
      <c r="G11" s="34">
        <v>2000</v>
      </c>
      <c r="H11" s="34">
        <v>1000</v>
      </c>
      <c r="I11" s="18">
        <f t="shared" si="0"/>
        <v>27070.199999999997</v>
      </c>
      <c r="J11" s="33">
        <v>300</v>
      </c>
      <c r="K11" s="52">
        <f t="shared" si="1"/>
        <v>26770.199999999997</v>
      </c>
      <c r="O11" s="5">
        <v>16</v>
      </c>
      <c r="P11" s="28">
        <v>31120</v>
      </c>
      <c r="Q11" s="61">
        <v>0.06</v>
      </c>
      <c r="R11" s="10">
        <f>P11*0.94</f>
        <v>29252.799999999999</v>
      </c>
      <c r="S11" s="34">
        <v>1000</v>
      </c>
      <c r="T11" s="34">
        <v>600</v>
      </c>
      <c r="U11" s="34">
        <v>2000</v>
      </c>
      <c r="V11" s="34">
        <v>1000</v>
      </c>
      <c r="W11" s="18">
        <f t="shared" si="4"/>
        <v>24652.799999999999</v>
      </c>
      <c r="X11" s="34">
        <v>300</v>
      </c>
      <c r="Y11" s="59">
        <f t="shared" si="5"/>
        <v>24352.799999999999</v>
      </c>
    </row>
    <row r="12" spans="1:25" x14ac:dyDescent="0.3">
      <c r="A12" s="5">
        <v>19</v>
      </c>
      <c r="B12" s="28">
        <v>36360</v>
      </c>
      <c r="C12" s="62"/>
      <c r="D12" s="20">
        <f t="shared" si="6"/>
        <v>34178.400000000001</v>
      </c>
      <c r="E12" s="34">
        <v>1500</v>
      </c>
      <c r="F12" s="34">
        <v>1200</v>
      </c>
      <c r="G12" s="34">
        <v>3900</v>
      </c>
      <c r="H12" s="34">
        <v>1000</v>
      </c>
      <c r="I12" s="18">
        <f t="shared" si="0"/>
        <v>26578.400000000001</v>
      </c>
      <c r="J12" s="33">
        <v>300</v>
      </c>
      <c r="K12" s="52">
        <f t="shared" si="1"/>
        <v>26278.400000000001</v>
      </c>
      <c r="O12" s="5">
        <v>17</v>
      </c>
      <c r="P12" s="28">
        <v>32230</v>
      </c>
      <c r="Q12" s="62"/>
      <c r="R12" s="10">
        <f t="shared" ref="R12:R13" si="7">P12*0.94</f>
        <v>30296.199999999997</v>
      </c>
      <c r="S12" s="34">
        <v>1000</v>
      </c>
      <c r="T12" s="34">
        <v>600</v>
      </c>
      <c r="U12" s="34">
        <v>2000</v>
      </c>
      <c r="V12" s="34">
        <v>1000</v>
      </c>
      <c r="W12" s="18">
        <f t="shared" si="4"/>
        <v>25696.199999999997</v>
      </c>
      <c r="X12" s="34">
        <v>300</v>
      </c>
      <c r="Y12" s="59">
        <f t="shared" si="5"/>
        <v>25396.199999999997</v>
      </c>
    </row>
    <row r="13" spans="1:25" x14ac:dyDescent="0.3">
      <c r="A13" s="5">
        <v>20</v>
      </c>
      <c r="B13" s="28">
        <v>37815</v>
      </c>
      <c r="C13" s="62"/>
      <c r="D13" s="20">
        <f t="shared" si="6"/>
        <v>35546.1</v>
      </c>
      <c r="E13" s="34">
        <v>1500</v>
      </c>
      <c r="F13" s="34">
        <v>1200</v>
      </c>
      <c r="G13" s="34">
        <v>3900</v>
      </c>
      <c r="H13" s="34">
        <v>1000</v>
      </c>
      <c r="I13" s="18">
        <f t="shared" si="0"/>
        <v>27946.1</v>
      </c>
      <c r="J13" s="33">
        <v>300</v>
      </c>
      <c r="K13" s="52">
        <f t="shared" si="1"/>
        <v>27646.1</v>
      </c>
      <c r="O13" s="5">
        <v>18</v>
      </c>
      <c r="P13" s="28">
        <v>33580</v>
      </c>
      <c r="Q13" s="62"/>
      <c r="R13" s="10">
        <f t="shared" si="7"/>
        <v>31565.199999999997</v>
      </c>
      <c r="S13" s="34">
        <v>1000</v>
      </c>
      <c r="T13" s="34">
        <v>1200</v>
      </c>
      <c r="U13" s="34">
        <v>2000</v>
      </c>
      <c r="V13" s="34">
        <v>1000</v>
      </c>
      <c r="W13" s="18">
        <f t="shared" si="4"/>
        <v>26365.199999999997</v>
      </c>
      <c r="X13" s="34">
        <v>300</v>
      </c>
      <c r="Y13" s="59">
        <f t="shared" si="5"/>
        <v>26065.199999999997</v>
      </c>
    </row>
    <row r="14" spans="1:25" x14ac:dyDescent="0.3">
      <c r="A14" s="5">
        <v>21</v>
      </c>
      <c r="B14" s="28">
        <v>39010</v>
      </c>
      <c r="C14" s="62"/>
      <c r="D14" s="20">
        <f t="shared" si="6"/>
        <v>36669.4</v>
      </c>
      <c r="E14" s="34">
        <v>1500</v>
      </c>
      <c r="F14" s="34">
        <v>1200</v>
      </c>
      <c r="G14" s="34">
        <v>3900</v>
      </c>
      <c r="H14" s="34">
        <v>1000</v>
      </c>
      <c r="I14" s="18">
        <f t="shared" si="0"/>
        <v>29069.4</v>
      </c>
      <c r="J14" s="33">
        <v>300</v>
      </c>
      <c r="K14" s="52">
        <f t="shared" si="1"/>
        <v>28769.4</v>
      </c>
    </row>
    <row r="15" spans="1:25" x14ac:dyDescent="0.3">
      <c r="A15" s="5">
        <v>22</v>
      </c>
      <c r="B15" s="28">
        <v>40225</v>
      </c>
      <c r="C15" s="61">
        <v>7.0000000000000007E-2</v>
      </c>
      <c r="D15" s="20">
        <f>B15*0.93</f>
        <v>37409.25</v>
      </c>
      <c r="E15" s="34">
        <v>1500</v>
      </c>
      <c r="F15" s="34">
        <v>1200</v>
      </c>
      <c r="G15" s="34">
        <v>3900</v>
      </c>
      <c r="H15" s="34">
        <v>1000</v>
      </c>
      <c r="I15" s="18">
        <f t="shared" si="0"/>
        <v>29809.25</v>
      </c>
      <c r="J15" s="33">
        <v>400</v>
      </c>
      <c r="K15" s="52">
        <f t="shared" si="1"/>
        <v>29409.25</v>
      </c>
    </row>
    <row r="16" spans="1:25" x14ac:dyDescent="0.3">
      <c r="A16" s="5">
        <v>23</v>
      </c>
      <c r="B16" s="28">
        <v>41330</v>
      </c>
      <c r="C16" s="62"/>
      <c r="D16" s="20">
        <f t="shared" ref="D16:D41" si="8">B16*0.93</f>
        <v>38436.9</v>
      </c>
      <c r="E16" s="34">
        <v>1500</v>
      </c>
      <c r="F16" s="34">
        <v>1200</v>
      </c>
      <c r="G16" s="34">
        <v>3900</v>
      </c>
      <c r="H16" s="34">
        <v>1000</v>
      </c>
      <c r="I16" s="18">
        <f t="shared" si="0"/>
        <v>30836.9</v>
      </c>
      <c r="J16" s="33">
        <v>400</v>
      </c>
      <c r="K16" s="52">
        <f t="shared" si="1"/>
        <v>30436.9</v>
      </c>
    </row>
    <row r="17" spans="1:11" x14ac:dyDescent="0.3">
      <c r="A17" s="5">
        <v>24</v>
      </c>
      <c r="B17" s="28">
        <v>42440</v>
      </c>
      <c r="C17" s="62"/>
      <c r="D17" s="20">
        <f t="shared" si="8"/>
        <v>39469.200000000004</v>
      </c>
      <c r="E17" s="34">
        <v>1500</v>
      </c>
      <c r="F17" s="34">
        <v>1200</v>
      </c>
      <c r="G17" s="34">
        <v>3900</v>
      </c>
      <c r="H17" s="34">
        <v>1000</v>
      </c>
      <c r="I17" s="18">
        <f t="shared" si="0"/>
        <v>31869.200000000004</v>
      </c>
      <c r="J17" s="33">
        <v>400</v>
      </c>
      <c r="K17" s="52">
        <f t="shared" si="1"/>
        <v>31469.200000000004</v>
      </c>
    </row>
    <row r="18" spans="1:11" x14ac:dyDescent="0.3">
      <c r="A18" s="5">
        <v>25</v>
      </c>
      <c r="B18" s="28">
        <v>43525</v>
      </c>
      <c r="C18" s="62"/>
      <c r="D18" s="20">
        <f t="shared" si="8"/>
        <v>40478.25</v>
      </c>
      <c r="E18" s="34">
        <v>1500</v>
      </c>
      <c r="F18" s="34">
        <v>1500</v>
      </c>
      <c r="G18" s="34">
        <v>3900</v>
      </c>
      <c r="H18" s="34">
        <v>1000</v>
      </c>
      <c r="I18" s="18">
        <f t="shared" si="0"/>
        <v>32578.25</v>
      </c>
      <c r="J18" s="33">
        <v>400</v>
      </c>
      <c r="K18" s="52">
        <f t="shared" si="1"/>
        <v>32178.25</v>
      </c>
    </row>
    <row r="19" spans="1:11" x14ac:dyDescent="0.3">
      <c r="A19" s="5">
        <v>26</v>
      </c>
      <c r="B19" s="28">
        <v>44810</v>
      </c>
      <c r="C19" s="62"/>
      <c r="D19" s="20">
        <f t="shared" si="8"/>
        <v>41673.300000000003</v>
      </c>
      <c r="E19" s="34">
        <v>2000</v>
      </c>
      <c r="F19" s="34">
        <v>1500</v>
      </c>
      <c r="G19" s="34">
        <v>3900</v>
      </c>
      <c r="H19" s="34">
        <v>1000</v>
      </c>
      <c r="I19" s="18">
        <f t="shared" si="0"/>
        <v>33273.300000000003</v>
      </c>
      <c r="J19" s="33">
        <v>400</v>
      </c>
      <c r="K19" s="52">
        <f t="shared" si="1"/>
        <v>32873.300000000003</v>
      </c>
    </row>
    <row r="20" spans="1:11" x14ac:dyDescent="0.3">
      <c r="A20" s="5">
        <v>27</v>
      </c>
      <c r="B20" s="28">
        <v>45900</v>
      </c>
      <c r="C20" s="62"/>
      <c r="D20" s="20">
        <f t="shared" si="8"/>
        <v>42687</v>
      </c>
      <c r="E20" s="34">
        <v>2000</v>
      </c>
      <c r="F20" s="34">
        <v>1500</v>
      </c>
      <c r="G20" s="34">
        <v>3900</v>
      </c>
      <c r="H20" s="34">
        <v>1000</v>
      </c>
      <c r="I20" s="18">
        <f t="shared" si="0"/>
        <v>34287</v>
      </c>
      <c r="J20" s="33">
        <v>400</v>
      </c>
      <c r="K20" s="52">
        <f t="shared" si="1"/>
        <v>33887</v>
      </c>
    </row>
    <row r="21" spans="1:11" x14ac:dyDescent="0.3">
      <c r="A21" s="5">
        <v>28</v>
      </c>
      <c r="B21" s="28">
        <v>47000</v>
      </c>
      <c r="C21" s="62"/>
      <c r="D21" s="20">
        <f t="shared" si="8"/>
        <v>43710</v>
      </c>
      <c r="E21" s="34">
        <v>2000</v>
      </c>
      <c r="F21" s="34">
        <v>1500</v>
      </c>
      <c r="G21" s="34">
        <v>3900</v>
      </c>
      <c r="H21" s="34">
        <v>1000</v>
      </c>
      <c r="I21" s="18">
        <f t="shared" si="0"/>
        <v>35310</v>
      </c>
      <c r="J21" s="33">
        <v>400</v>
      </c>
      <c r="K21" s="52">
        <f t="shared" si="1"/>
        <v>34910</v>
      </c>
    </row>
    <row r="22" spans="1:11" x14ac:dyDescent="0.3">
      <c r="A22" s="5">
        <v>29</v>
      </c>
      <c r="B22" s="28">
        <v>48140</v>
      </c>
      <c r="C22" s="62"/>
      <c r="D22" s="20">
        <f t="shared" si="8"/>
        <v>44770.200000000004</v>
      </c>
      <c r="E22" s="34">
        <v>2000</v>
      </c>
      <c r="F22" s="34">
        <v>1500</v>
      </c>
      <c r="G22" s="34">
        <v>3900</v>
      </c>
      <c r="H22" s="34">
        <v>1000</v>
      </c>
      <c r="I22" s="18">
        <f t="shared" si="0"/>
        <v>36370.200000000004</v>
      </c>
      <c r="J22" s="33">
        <v>400</v>
      </c>
      <c r="K22" s="52">
        <f t="shared" si="1"/>
        <v>35970.200000000004</v>
      </c>
    </row>
    <row r="23" spans="1:11" x14ac:dyDescent="0.3">
      <c r="A23" s="5">
        <v>30</v>
      </c>
      <c r="B23" s="28">
        <v>49230</v>
      </c>
      <c r="C23" s="62"/>
      <c r="D23" s="20">
        <f t="shared" si="8"/>
        <v>45783.9</v>
      </c>
      <c r="E23" s="34">
        <v>2000</v>
      </c>
      <c r="F23" s="34">
        <v>1500</v>
      </c>
      <c r="G23" s="34">
        <v>3900</v>
      </c>
      <c r="H23" s="34">
        <v>1000</v>
      </c>
      <c r="I23" s="18">
        <f t="shared" si="0"/>
        <v>37383.9</v>
      </c>
      <c r="J23" s="33">
        <v>400</v>
      </c>
      <c r="K23" s="52">
        <f t="shared" si="1"/>
        <v>36983.9</v>
      </c>
    </row>
    <row r="24" spans="1:11" x14ac:dyDescent="0.3">
      <c r="A24" s="5">
        <v>31</v>
      </c>
      <c r="B24" s="28">
        <v>51260</v>
      </c>
      <c r="C24" s="62"/>
      <c r="D24" s="20">
        <f t="shared" si="8"/>
        <v>47671.8</v>
      </c>
      <c r="E24" s="34">
        <v>2500</v>
      </c>
      <c r="F24" s="34">
        <v>1500</v>
      </c>
      <c r="G24" s="34">
        <v>3900</v>
      </c>
      <c r="H24" s="34">
        <v>1000</v>
      </c>
      <c r="I24" s="18">
        <f t="shared" si="0"/>
        <v>38771.800000000003</v>
      </c>
      <c r="J24" s="33">
        <v>400</v>
      </c>
      <c r="K24" s="52">
        <f t="shared" si="1"/>
        <v>38371.800000000003</v>
      </c>
    </row>
    <row r="25" spans="1:11" x14ac:dyDescent="0.3">
      <c r="A25" s="5">
        <v>32</v>
      </c>
      <c r="B25" s="28">
        <v>52850</v>
      </c>
      <c r="C25" s="62"/>
      <c r="D25" s="20">
        <f t="shared" si="8"/>
        <v>49150.5</v>
      </c>
      <c r="E25" s="34">
        <v>2500</v>
      </c>
      <c r="F25" s="34">
        <v>1500</v>
      </c>
      <c r="G25" s="34">
        <v>3900</v>
      </c>
      <c r="H25" s="34">
        <v>1000</v>
      </c>
      <c r="I25" s="18">
        <f t="shared" si="0"/>
        <v>40250.5</v>
      </c>
      <c r="J25" s="33">
        <v>400</v>
      </c>
      <c r="K25" s="52">
        <f t="shared" si="1"/>
        <v>39850.5</v>
      </c>
    </row>
    <row r="26" spans="1:11" x14ac:dyDescent="0.3">
      <c r="A26" s="5">
        <v>33</v>
      </c>
      <c r="B26" s="28">
        <v>53950</v>
      </c>
      <c r="C26" s="62"/>
      <c r="D26" s="20">
        <f t="shared" si="8"/>
        <v>50173.5</v>
      </c>
      <c r="E26" s="34">
        <v>2500</v>
      </c>
      <c r="F26" s="34">
        <v>1500</v>
      </c>
      <c r="G26" s="34">
        <v>3900</v>
      </c>
      <c r="H26" s="34">
        <v>1000</v>
      </c>
      <c r="I26" s="18">
        <f t="shared" si="0"/>
        <v>41273.5</v>
      </c>
      <c r="J26" s="33">
        <v>500</v>
      </c>
      <c r="K26" s="52">
        <f t="shared" si="1"/>
        <v>40773.5</v>
      </c>
    </row>
    <row r="27" spans="1:11" x14ac:dyDescent="0.3">
      <c r="A27" s="46">
        <v>34</v>
      </c>
      <c r="B27" s="28">
        <v>55080</v>
      </c>
      <c r="C27" s="62"/>
      <c r="D27" s="18">
        <f t="shared" si="8"/>
        <v>51224.4</v>
      </c>
      <c r="E27" s="47">
        <v>2500</v>
      </c>
      <c r="F27" s="47">
        <v>1500</v>
      </c>
      <c r="G27" s="34">
        <v>3900</v>
      </c>
      <c r="H27" s="47">
        <v>1000</v>
      </c>
      <c r="I27" s="18">
        <f t="shared" si="0"/>
        <v>42324.4</v>
      </c>
      <c r="J27" s="48">
        <v>500</v>
      </c>
      <c r="K27" s="52">
        <f t="shared" si="1"/>
        <v>41824.400000000001</v>
      </c>
    </row>
    <row r="28" spans="1:11" x14ac:dyDescent="0.3">
      <c r="A28" s="5">
        <v>35</v>
      </c>
      <c r="B28" s="28">
        <v>56180</v>
      </c>
      <c r="C28" s="62"/>
      <c r="D28" s="20">
        <f t="shared" si="8"/>
        <v>52247.4</v>
      </c>
      <c r="E28" s="34">
        <v>2500</v>
      </c>
      <c r="F28" s="34">
        <v>1500</v>
      </c>
      <c r="G28" s="34">
        <v>3900</v>
      </c>
      <c r="H28" s="34">
        <v>1000</v>
      </c>
      <c r="I28" s="18">
        <f t="shared" si="0"/>
        <v>43347.4</v>
      </c>
      <c r="J28" s="33">
        <v>500</v>
      </c>
      <c r="K28" s="52">
        <f t="shared" si="1"/>
        <v>42847.4</v>
      </c>
    </row>
    <row r="29" spans="1:11" x14ac:dyDescent="0.3">
      <c r="A29" s="5">
        <v>36</v>
      </c>
      <c r="B29" s="28">
        <v>57590</v>
      </c>
      <c r="C29" s="62"/>
      <c r="D29" s="20">
        <f t="shared" si="8"/>
        <v>53558.700000000004</v>
      </c>
      <c r="E29" s="34">
        <v>2500</v>
      </c>
      <c r="F29" s="34">
        <v>1500</v>
      </c>
      <c r="G29" s="34">
        <v>3900</v>
      </c>
      <c r="H29" s="34">
        <v>1000</v>
      </c>
      <c r="I29" s="18">
        <f t="shared" si="0"/>
        <v>44658.700000000004</v>
      </c>
      <c r="J29" s="33">
        <v>500</v>
      </c>
      <c r="K29" s="52">
        <f t="shared" si="1"/>
        <v>44158.700000000004</v>
      </c>
    </row>
    <row r="30" spans="1:11" x14ac:dyDescent="0.3">
      <c r="A30" s="5">
        <v>37</v>
      </c>
      <c r="B30" s="28">
        <v>58400</v>
      </c>
      <c r="C30" s="62"/>
      <c r="D30" s="20">
        <f t="shared" si="8"/>
        <v>54312</v>
      </c>
      <c r="E30" s="34">
        <v>2500</v>
      </c>
      <c r="F30" s="34">
        <v>1500</v>
      </c>
      <c r="G30" s="34">
        <v>3900</v>
      </c>
      <c r="H30" s="34">
        <v>1000</v>
      </c>
      <c r="I30" s="18">
        <f t="shared" si="0"/>
        <v>45412</v>
      </c>
      <c r="J30" s="33">
        <v>500</v>
      </c>
      <c r="K30" s="52">
        <f t="shared" si="1"/>
        <v>44912</v>
      </c>
    </row>
    <row r="31" spans="1:11" x14ac:dyDescent="0.3">
      <c r="A31" s="5">
        <v>38</v>
      </c>
      <c r="B31" s="28">
        <v>59505</v>
      </c>
      <c r="C31" s="62"/>
      <c r="D31" s="20">
        <f t="shared" si="8"/>
        <v>55339.65</v>
      </c>
      <c r="E31" s="34">
        <v>2500</v>
      </c>
      <c r="F31" s="34">
        <v>1500</v>
      </c>
      <c r="G31" s="34">
        <v>3900</v>
      </c>
      <c r="H31" s="34">
        <v>1000</v>
      </c>
      <c r="I31" s="18">
        <f t="shared" si="0"/>
        <v>46439.65</v>
      </c>
      <c r="J31" s="33">
        <v>500</v>
      </c>
      <c r="K31" s="52">
        <f t="shared" si="1"/>
        <v>45939.65</v>
      </c>
    </row>
    <row r="32" spans="1:11" x14ac:dyDescent="0.3">
      <c r="A32" s="5">
        <v>39</v>
      </c>
      <c r="B32" s="28">
        <v>61000</v>
      </c>
      <c r="C32" s="62"/>
      <c r="D32" s="20">
        <f t="shared" si="8"/>
        <v>56730</v>
      </c>
      <c r="E32" s="34">
        <v>2500</v>
      </c>
      <c r="F32" s="34">
        <v>1500</v>
      </c>
      <c r="G32" s="34">
        <v>3900</v>
      </c>
      <c r="H32" s="34">
        <v>1000</v>
      </c>
      <c r="I32" s="18">
        <f t="shared" si="0"/>
        <v>47830</v>
      </c>
      <c r="J32" s="33">
        <v>500</v>
      </c>
      <c r="K32" s="52">
        <f t="shared" si="1"/>
        <v>47330</v>
      </c>
    </row>
    <row r="33" spans="1:11" x14ac:dyDescent="0.3">
      <c r="A33" s="5">
        <v>40</v>
      </c>
      <c r="B33" s="28">
        <v>62110</v>
      </c>
      <c r="C33" s="62"/>
      <c r="D33" s="20">
        <f t="shared" si="8"/>
        <v>57762.3</v>
      </c>
      <c r="E33" s="34">
        <v>2500</v>
      </c>
      <c r="F33" s="34">
        <v>1500</v>
      </c>
      <c r="G33" s="34">
        <v>3900</v>
      </c>
      <c r="H33" s="34">
        <v>1000</v>
      </c>
      <c r="I33" s="18">
        <f t="shared" si="0"/>
        <v>48862.3</v>
      </c>
      <c r="J33" s="33">
        <v>500</v>
      </c>
      <c r="K33" s="52">
        <f t="shared" si="1"/>
        <v>48362.3</v>
      </c>
    </row>
    <row r="34" spans="1:11" x14ac:dyDescent="0.3">
      <c r="A34" s="5">
        <v>41</v>
      </c>
      <c r="B34" s="28">
        <v>63225</v>
      </c>
      <c r="C34" s="62"/>
      <c r="D34" s="20">
        <f t="shared" si="8"/>
        <v>58799.25</v>
      </c>
      <c r="E34" s="34">
        <v>2500</v>
      </c>
      <c r="F34" s="34">
        <v>1500</v>
      </c>
      <c r="G34" s="34">
        <v>3900</v>
      </c>
      <c r="H34" s="34">
        <v>1000</v>
      </c>
      <c r="I34" s="18">
        <f t="shared" si="0"/>
        <v>49899.25</v>
      </c>
      <c r="J34" s="33">
        <v>500</v>
      </c>
      <c r="K34" s="52">
        <f t="shared" si="1"/>
        <v>49399.25</v>
      </c>
    </row>
    <row r="35" spans="1:11" x14ac:dyDescent="0.3">
      <c r="A35" s="5">
        <v>42</v>
      </c>
      <c r="B35" s="28">
        <v>64325</v>
      </c>
      <c r="C35" s="62"/>
      <c r="D35" s="20">
        <f t="shared" si="8"/>
        <v>59822.25</v>
      </c>
      <c r="E35" s="34">
        <v>2500</v>
      </c>
      <c r="F35" s="34">
        <v>1500</v>
      </c>
      <c r="G35" s="34">
        <v>3900</v>
      </c>
      <c r="H35" s="34">
        <v>1000</v>
      </c>
      <c r="I35" s="18">
        <f t="shared" si="0"/>
        <v>50922.25</v>
      </c>
      <c r="J35" s="33">
        <v>500</v>
      </c>
      <c r="K35" s="52">
        <f t="shared" si="1"/>
        <v>50422.25</v>
      </c>
    </row>
    <row r="36" spans="1:11" x14ac:dyDescent="0.3">
      <c r="A36" s="5">
        <v>43</v>
      </c>
      <c r="B36" s="28">
        <v>65430</v>
      </c>
      <c r="C36" s="62"/>
      <c r="D36" s="20">
        <f t="shared" si="8"/>
        <v>60849.9</v>
      </c>
      <c r="E36" s="34">
        <v>2500</v>
      </c>
      <c r="F36" s="34">
        <v>1500</v>
      </c>
      <c r="G36" s="34">
        <v>3900</v>
      </c>
      <c r="H36" s="34">
        <v>1000</v>
      </c>
      <c r="I36" s="18">
        <f t="shared" si="0"/>
        <v>51949.9</v>
      </c>
      <c r="J36" s="33">
        <v>500</v>
      </c>
      <c r="K36" s="52">
        <f t="shared" si="1"/>
        <v>51449.9</v>
      </c>
    </row>
    <row r="37" spans="1:11" x14ac:dyDescent="0.3">
      <c r="A37" s="5">
        <v>44</v>
      </c>
      <c r="B37" s="28">
        <v>66550</v>
      </c>
      <c r="C37" s="62"/>
      <c r="D37" s="20">
        <f t="shared" si="8"/>
        <v>61891.5</v>
      </c>
      <c r="E37" s="34">
        <v>2500</v>
      </c>
      <c r="F37" s="34">
        <v>1500</v>
      </c>
      <c r="G37" s="34">
        <v>3900</v>
      </c>
      <c r="H37" s="34">
        <v>1000</v>
      </c>
      <c r="I37" s="18">
        <f t="shared" si="0"/>
        <v>52991.5</v>
      </c>
      <c r="J37" s="33">
        <v>500</v>
      </c>
      <c r="K37" s="52">
        <f t="shared" si="1"/>
        <v>52491.5</v>
      </c>
    </row>
    <row r="38" spans="1:11" x14ac:dyDescent="0.3">
      <c r="A38" s="5">
        <v>45</v>
      </c>
      <c r="B38" s="28">
        <v>67650</v>
      </c>
      <c r="C38" s="62"/>
      <c r="D38" s="20">
        <f t="shared" si="8"/>
        <v>62914.5</v>
      </c>
      <c r="E38" s="34">
        <v>2500</v>
      </c>
      <c r="F38" s="34">
        <v>1500</v>
      </c>
      <c r="G38" s="34">
        <v>3900</v>
      </c>
      <c r="H38" s="34">
        <v>1000</v>
      </c>
      <c r="I38" s="18">
        <f t="shared" si="0"/>
        <v>54014.5</v>
      </c>
      <c r="J38" s="33">
        <v>500</v>
      </c>
      <c r="K38" s="52">
        <f t="shared" si="1"/>
        <v>53514.5</v>
      </c>
    </row>
    <row r="39" spans="1:11" x14ac:dyDescent="0.3">
      <c r="A39" s="5">
        <v>46</v>
      </c>
      <c r="B39" s="28">
        <v>68755</v>
      </c>
      <c r="C39" s="62"/>
      <c r="D39" s="20">
        <f t="shared" si="8"/>
        <v>63942.15</v>
      </c>
      <c r="E39" s="34">
        <v>2500</v>
      </c>
      <c r="F39" s="34">
        <v>1500</v>
      </c>
      <c r="G39" s="34">
        <v>3900</v>
      </c>
      <c r="H39" s="34">
        <v>1000</v>
      </c>
      <c r="I39" s="18">
        <f t="shared" si="0"/>
        <v>55042.15</v>
      </c>
      <c r="J39" s="33">
        <v>500</v>
      </c>
      <c r="K39" s="52">
        <f t="shared" si="1"/>
        <v>54542.15</v>
      </c>
    </row>
    <row r="40" spans="1:11" x14ac:dyDescent="0.3">
      <c r="A40" s="5">
        <v>47</v>
      </c>
      <c r="B40" s="28">
        <v>69870</v>
      </c>
      <c r="C40" s="62"/>
      <c r="D40" s="20">
        <f t="shared" si="8"/>
        <v>64979.100000000006</v>
      </c>
      <c r="E40" s="34">
        <v>2500</v>
      </c>
      <c r="F40" s="34">
        <v>1500</v>
      </c>
      <c r="G40" s="34">
        <v>3900</v>
      </c>
      <c r="H40" s="34">
        <v>1000</v>
      </c>
      <c r="I40" s="18">
        <f t="shared" si="0"/>
        <v>56079.100000000006</v>
      </c>
      <c r="J40" s="33">
        <v>500</v>
      </c>
      <c r="K40" s="52">
        <f t="shared" si="1"/>
        <v>55579.100000000006</v>
      </c>
    </row>
    <row r="41" spans="1:11" x14ac:dyDescent="0.3">
      <c r="A41" s="5">
        <v>48</v>
      </c>
      <c r="B41" s="28">
        <v>70980</v>
      </c>
      <c r="C41" s="62"/>
      <c r="D41" s="20">
        <f t="shared" si="8"/>
        <v>66011.400000000009</v>
      </c>
      <c r="E41" s="34">
        <v>2500</v>
      </c>
      <c r="F41" s="34">
        <v>1500</v>
      </c>
      <c r="G41" s="34">
        <v>3900</v>
      </c>
      <c r="H41" s="34">
        <v>1000</v>
      </c>
      <c r="I41" s="18">
        <f t="shared" si="0"/>
        <v>57111.400000000009</v>
      </c>
      <c r="J41" s="33">
        <v>500</v>
      </c>
      <c r="K41" s="52">
        <f t="shared" si="1"/>
        <v>56611.400000000009</v>
      </c>
    </row>
  </sheetData>
  <mergeCells count="7">
    <mergeCell ref="A1:K1"/>
    <mergeCell ref="C3:C8"/>
    <mergeCell ref="C9:C14"/>
    <mergeCell ref="C15:C41"/>
    <mergeCell ref="Q3:Q10"/>
    <mergeCell ref="Q11:Q13"/>
    <mergeCell ref="O1:Y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 2026</vt:lpstr>
      <vt:lpstr>MAC 2026</vt:lpstr>
      <vt:lpstr>APR 2026</vt:lpstr>
      <vt:lpstr>MAY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黄伟豪</dc:creator>
  <cp:lastModifiedBy>User</cp:lastModifiedBy>
  <cp:lastPrinted>2026-04-05T12:44:51Z</cp:lastPrinted>
  <dcterms:created xsi:type="dcterms:W3CDTF">2015-06-05T18:17:20Z</dcterms:created>
  <dcterms:modified xsi:type="dcterms:W3CDTF">2026-05-19T02:19:19Z</dcterms:modified>
</cp:coreProperties>
</file>